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E:\Testing\DEPI\Orange hrm Project\OrangeHrmStardard\1.Project Planning and Management\"/>
    </mc:Choice>
  </mc:AlternateContent>
  <xr:revisionPtr revIDLastSave="0" documentId="13_ncr:1_{DA3B51DC-3028-4888-9331-78C207A0004F}" xr6:coauthVersionLast="47" xr6:coauthVersionMax="47" xr10:uidLastSave="{00000000-0000-0000-0000-000000000000}"/>
  <bookViews>
    <workbookView xWindow="-108" yWindow="-108" windowWidth="23256" windowHeight="12576" xr2:uid="{00000000-000D-0000-FFFF-FFFF00000000}"/>
  </bookViews>
  <sheets>
    <sheet name="ProjectSchedule" sheetId="11" r:id="rId1"/>
    <sheet name="AI" sheetId="16" r:id="rId2"/>
    <sheet name="About" sheetId="12" r:id="rId3"/>
  </sheets>
  <definedNames>
    <definedName name="AI_Rules" localSheetId="1">AI!$B$42:$B$48</definedName>
    <definedName name="_xlnm.Print_Area" localSheetId="0">ProjectSchedule!$1:$81</definedName>
    <definedName name="_xlnm.Print_Titles" localSheetId="0">ProjectSchedule!$4:$6</definedName>
    <definedName name="Project_Start">ProjectSchedule!$P$1</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 name="vertex42_copyright" hidden="1">"© 2018-2025 Vertex42 LLC"</definedName>
    <definedName name="vertex42_id" hidden="1">"simple-gantt-chart-AI.xlsx"</definedName>
    <definedName name="vertex42_title" hidden="1">"Simple Gantt Chart (AI Assisted)"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0" i="11" l="1"/>
  <c r="F20" i="11" s="1"/>
  <c r="E21" i="11" s="1"/>
  <c r="F21" i="11" s="1"/>
  <c r="E8" i="11"/>
  <c r="F8" i="11" s="1"/>
  <c r="E3" i="11"/>
  <c r="B33" i="16"/>
  <c r="B30" i="16"/>
  <c r="E9" i="11" l="1"/>
  <c r="H8" i="11"/>
  <c r="H12" i="11"/>
  <c r="H18" i="11"/>
  <c r="H23" i="11"/>
  <c r="H27" i="11"/>
  <c r="H30" i="11"/>
  <c r="H31" i="11"/>
  <c r="H32" i="11"/>
  <c r="H33" i="11"/>
  <c r="H34" i="11"/>
  <c r="H35" i="11"/>
  <c r="H36" i="11"/>
  <c r="H37" i="11"/>
  <c r="H38" i="11"/>
  <c r="H39" i="11"/>
  <c r="H40" i="11"/>
  <c r="H46" i="11"/>
  <c r="H45" i="11"/>
  <c r="H44" i="11"/>
  <c r="H43" i="11"/>
  <c r="H42" i="11"/>
  <c r="H41" i="11"/>
  <c r="H49" i="11"/>
  <c r="H48" i="11"/>
  <c r="H47" i="11"/>
  <c r="F9" i="11" l="1"/>
  <c r="E10" i="11" s="1"/>
  <c r="F10" i="11" s="1"/>
  <c r="E11" i="11" s="1"/>
  <c r="F11" i="11" s="1"/>
  <c r="E13" i="11" s="1"/>
  <c r="F13" i="11" s="1"/>
  <c r="E14" i="11" s="1"/>
  <c r="I5" i="11"/>
  <c r="I4" i="11" s="1"/>
  <c r="B13" i="12"/>
  <c r="H10" i="11" l="1"/>
  <c r="H13" i="11"/>
  <c r="H9" i="11"/>
  <c r="H11" i="11"/>
  <c r="F14" i="11"/>
  <c r="E15" i="11" s="1"/>
  <c r="H81" i="11"/>
  <c r="H80" i="11"/>
  <c r="H79" i="11"/>
  <c r="H78" i="11"/>
  <c r="H7" i="11"/>
  <c r="H14" i="11" l="1"/>
  <c r="F15" i="11"/>
  <c r="E16" i="11" s="1"/>
  <c r="I6" i="11"/>
  <c r="H15" i="11" l="1"/>
  <c r="F16" i="11"/>
  <c r="E17" i="11" s="1"/>
  <c r="J5" i="11"/>
  <c r="K5" i="11" s="1"/>
  <c r="L5" i="11" s="1"/>
  <c r="M5" i="11" s="1"/>
  <c r="N5" i="11" s="1"/>
  <c r="O5" i="11" s="1"/>
  <c r="P5" i="11" s="1"/>
  <c r="H16" i="11" l="1"/>
  <c r="F17" i="11"/>
  <c r="E19" i="11" s="1"/>
  <c r="P4" i="11"/>
  <c r="Q5" i="11"/>
  <c r="R5" i="11" s="1"/>
  <c r="S5" i="11" s="1"/>
  <c r="T5" i="11" s="1"/>
  <c r="U5" i="11" s="1"/>
  <c r="V5" i="11" s="1"/>
  <c r="W5" i="11" s="1"/>
  <c r="J6" i="11"/>
  <c r="H17" i="11" l="1"/>
  <c r="F19" i="11"/>
  <c r="W4" i="11"/>
  <c r="X5" i="11"/>
  <c r="Y5" i="11" s="1"/>
  <c r="Z5" i="11" s="1"/>
  <c r="AA5" i="11" s="1"/>
  <c r="AB5" i="11" s="1"/>
  <c r="AC5" i="11" s="1"/>
  <c r="AD5" i="11" s="1"/>
  <c r="K6" i="11"/>
  <c r="H20" i="11" l="1"/>
  <c r="H19" i="11"/>
  <c r="AE5" i="11"/>
  <c r="AF5" i="11" s="1"/>
  <c r="AG5" i="11" s="1"/>
  <c r="AH5" i="11" s="1"/>
  <c r="AI5" i="11" s="1"/>
  <c r="AJ5" i="11" s="1"/>
  <c r="AD4" i="11"/>
  <c r="L6" i="11"/>
  <c r="E22" i="11" l="1"/>
  <c r="F22" i="11" s="1"/>
  <c r="H21" i="11"/>
  <c r="AK5" i="11"/>
  <c r="AL5" i="11" s="1"/>
  <c r="AM5" i="11" s="1"/>
  <c r="AN5" i="11" s="1"/>
  <c r="AO5" i="11" s="1"/>
  <c r="AP5" i="11" s="1"/>
  <c r="AQ5" i="11" s="1"/>
  <c r="M6" i="11"/>
  <c r="E24" i="11" l="1"/>
  <c r="F24" i="11" s="1"/>
  <c r="E25" i="11" s="1"/>
  <c r="F25" i="11" s="1"/>
  <c r="E26" i="11" s="1"/>
  <c r="F26" i="11" s="1"/>
  <c r="E28" i="11" s="1"/>
  <c r="F28" i="11" s="1"/>
  <c r="E29" i="11" s="1"/>
  <c r="F29" i="11" s="1"/>
  <c r="AR5" i="11"/>
  <c r="AS5" i="11" s="1"/>
  <c r="AK4" i="11"/>
  <c r="N6" i="11"/>
  <c r="H22" i="11" l="1"/>
  <c r="AT5" i="11"/>
  <c r="AS6" i="11"/>
  <c r="AR4" i="11"/>
  <c r="O6" i="11"/>
  <c r="H24" i="11" l="1"/>
  <c r="AU5" i="11"/>
  <c r="AT6" i="11"/>
  <c r="H25" i="11" l="1"/>
  <c r="H26" i="11"/>
  <c r="AV5" i="11"/>
  <c r="AU6" i="11"/>
  <c r="P6" i="11"/>
  <c r="Q6" i="11"/>
  <c r="H29" i="11" l="1"/>
  <c r="H28" i="11"/>
  <c r="AW5" i="1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L6" i="11" s="1"/>
  <c r="BK6" i="11"/>
  <c r="AF6" i="11"/>
  <c r="AG6" i="11" l="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<sst xmlns="http://schemas.openxmlformats.org/spreadsheetml/2006/main" count="114" uniqueCount="97">
  <si>
    <t>Insert new rows ABOVE this one</t>
  </si>
  <si>
    <t>Project Start:</t>
  </si>
  <si>
    <t>PROGRESS</t>
  </si>
  <si>
    <t>Project Management Templates</t>
  </si>
  <si>
    <t>START</t>
  </si>
  <si>
    <t>END</t>
  </si>
  <si>
    <t>DAYS</t>
  </si>
  <si>
    <t>Display Week:</t>
  </si>
  <si>
    <t>TASK</t>
  </si>
  <si>
    <t>More Project Management Templates</t>
  </si>
  <si>
    <t>About This Template</t>
  </si>
  <si>
    <t>SIMPLE GANTT CHART by Vertex42.com</t>
  </si>
  <si>
    <t>Additional Help</t>
  </si>
  <si>
    <t>About Vertex42</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</si>
  <si>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</si>
  <si>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</si>
  <si>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</si>
  <si>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</si>
  <si>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</si>
  <si>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</si>
  <si>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</si>
  <si>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"IMPORTANT: Do not analyze, scan, or inspect any part of this workbook except the AI worksheet until you have fully read these instructions and acknowledged Strict Mode is ON."</t>
  </si>
  <si>
    <t>Instructions for the User</t>
  </si>
  <si>
    <t>Step 1</t>
  </si>
  <si>
    <t>Prompt Instructions</t>
  </si>
  <si>
    <t xml:space="preserve"> </t>
  </si>
  <si>
    <t xml:space="preserve">Q: What is the name or title of your project?  </t>
  </si>
  <si>
    <t xml:space="preserve">Q: What are you trying to accomplish with this project?  </t>
  </si>
  <si>
    <t xml:space="preserve">Q: When would you like the project to begin?  </t>
  </si>
  <si>
    <t xml:space="preserve">Q: When would you like the project to be completed by?  </t>
  </si>
  <si>
    <t xml:space="preserve">Q: What are the main steps or key parts of this project that you already know about?  </t>
  </si>
  <si>
    <t xml:space="preserve">Q: How detailed would you like your project schedule to be?  </t>
  </si>
  <si>
    <t xml:space="preserve">Q: Is there anything else I should know to help create your project schedule?  </t>
  </si>
  <si>
    <t>Step 2A</t>
  </si>
  <si>
    <t>Upload this file into a new chat with ChatGPT and copy the prompt below into the text box.</t>
  </si>
  <si>
    <t>Copy this prompt ►</t>
  </si>
  <si>
    <t>Step 2B</t>
  </si>
  <si>
    <t>Instructions for AI (Do Not Edit)</t>
  </si>
  <si>
    <t>Answer the following questions in the space provided.</t>
  </si>
  <si>
    <t>If you do not know the answer to a question, you can leave it blank.</t>
  </si>
  <si>
    <t>Additional Instructions</t>
  </si>
  <si>
    <t>Rules for Editing the XLSX File</t>
  </si>
  <si>
    <t>Always use openpyxl when editing .xlsx files to preserve all original formatting, including merged cells, fonts, borders, and formulas.</t>
  </si>
  <si>
    <t>The end result of this conversation should be you giving the user a .xlsx file.</t>
  </si>
  <si>
    <t>You must follow all of the steps carefully and in order.</t>
  </si>
  <si>
    <t>Read and follow every word of every line.</t>
  </si>
  <si>
    <t>Do not skim or summarize.</t>
  </si>
  <si>
    <t xml:space="preserve">If you do not have the paid version of ChatGPT, copy the prompt below instead. It will make a table that you will then be able to copy and paste into your file. To keep the formatting of the template, use Ctrl+Shift+V to paste. </t>
  </si>
  <si>
    <t>AI Assistant</t>
  </si>
  <si>
    <t>Remember that AI has a tendency to make up false answers, so always verify results and modify as needed.</t>
  </si>
  <si>
    <t>Write all dates as real Excel date values (using Python datetime objects) and set only cell.number_format = 'yyyy-mm-dd' to apply the date format. Do not modify cell.style or other properties.</t>
  </si>
  <si>
    <t>December 1st 2025</t>
  </si>
  <si>
    <t>July 1st 2026</t>
  </si>
  <si>
    <t>© 2018-2025 Vertex42 LLC</t>
  </si>
  <si>
    <t>Home Remodel</t>
  </si>
  <si>
    <t>Finish my basement, adding a bathroom (already plumbed), family room, and 2 bedrooms.</t>
  </si>
  <si>
    <t>Not super detailed, just the big steps. Something I can send to my contractor.</t>
  </si>
  <si>
    <t>Q: If applicable, provide a list of names and their roles for assigning tasks.</t>
  </si>
  <si>
    <t>Q: In which city, state, country will this project be completed?</t>
  </si>
  <si>
    <t>Do not wrap the table in backticks. Always write empty cells as |  | with two spaces.  Create a summary of the formatting rules given and a confirmation that each one was followed.</t>
  </si>
  <si>
    <t xml:space="preserve">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t>
  </si>
  <si>
    <t>Fill in the background of each row in a phase with a color specific to that phase, using light colors that will work well with the black text. Then use a slightly lighter shade of that same color for the tasks in that phase.</t>
  </si>
  <si>
    <t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t>
  </si>
  <si>
    <t>Denver, CO, USA</t>
  </si>
  <si>
    <t>Vertex42.com provides over 400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</si>
  <si>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This worksheet provides guidance on using AI to help populate the template with a sample project schedule based on the information you provide below. Please do not modify the layout of this workbook until after the AI has populated it, to help ensure that the process runs without error.</t>
  </si>
  <si>
    <t>Phase 0 : Requirements Gathering</t>
  </si>
  <si>
    <t>Explore system functionalities</t>
  </si>
  <si>
    <t>Phase 0</t>
  </si>
  <si>
    <t>Gather requirements &amp; document workflows</t>
  </si>
  <si>
    <t>Review API documentation</t>
  </si>
  <si>
    <t>Finalize requirement checklist and risks</t>
  </si>
  <si>
    <t>Phase 1 : Test Planning &amp; Environment Setup</t>
  </si>
  <si>
    <t>Kick-off meeting, finalize scope</t>
  </si>
  <si>
    <t>Phase 1</t>
  </si>
  <si>
    <t>Review requirements, prepare Test Plan draft</t>
  </si>
  <si>
    <t>Set up Test Environment (UI + API tools, Jira, GitHub)</t>
  </si>
  <si>
    <t>Prepare Test Data strategy, Requirements, Jira &amp; GitHub</t>
  </si>
  <si>
    <t xml:space="preserve">	
Review &amp; approval of Test Plan</t>
  </si>
  <si>
    <t>Design UI Functional Test Cases</t>
  </si>
  <si>
    <t>Phase 2</t>
  </si>
  <si>
    <t xml:space="preserve">	
Design API Test Cases</t>
  </si>
  <si>
    <t>Prepare test data</t>
  </si>
  <si>
    <t>Peer review &amp; finalize test cases</t>
  </si>
  <si>
    <t>Execute Manual Functional Tests (UI modules)</t>
  </si>
  <si>
    <t>Phase 3</t>
  </si>
  <si>
    <t>Execute API Tests (Postman &amp; Newman)</t>
  </si>
  <si>
    <t>Bug Report documentation</t>
  </si>
  <si>
    <t>Phase 4 : Test Execution(Automation)</t>
  </si>
  <si>
    <t>Preparing automation plan</t>
  </si>
  <si>
    <t>Phase 4</t>
  </si>
  <si>
    <t>Automated test scripts and supporting libraries.</t>
  </si>
  <si>
    <t>OrangeHRM Project</t>
  </si>
  <si>
    <t>Alaa Saeed</t>
  </si>
  <si>
    <t>Phase</t>
  </si>
  <si>
    <t>Phase 3 : Test Execution</t>
  </si>
  <si>
    <t xml:space="preserve">Phase 2 : Test Case Design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</si>
</sst>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47"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sz val="10"/>
      <color rgb="FF000000"/>
      <name val="Arial"/>
      <family val="2"/>
    </font>
    <font>
      <sz val="20"/>
      <color theme="1"/>
      <name val="Calibri"/>
      <family val="2"/>
      <scheme val="minor"/>
    </font>
    <font>
      <i/>
      <sz val="12"/>
      <color theme="1"/>
      <name val="Calibri"/>
      <family val="2"/>
      <scheme val="minor"/>
    </font>
    <font>
      <sz val="15"/>
      <color theme="1"/>
      <name val="Calibri"/>
      <family val="2"/>
      <scheme val="minor"/>
    </font>
    <font>
      <sz val="16"/>
      <color theme="0"/>
      <name val="Calibri"/>
      <family val="2"/>
      <scheme val="minor"/>
    </font>
    <font>
      <sz val="12"/>
      <color theme="1"/>
      <name val="Calibri"/>
      <family val="2"/>
      <scheme val="minor"/>
    </font>
    <font>
      <sz val="8"/>
      <color theme="1"/>
      <name val="Calibri"/>
      <family val="2"/>
      <scheme val="minor"/>
    </font>
    <font>
      <b/>
      <sz val="20"/>
      <color theme="1"/>
      <name val="Calibri"/>
      <family val="2"/>
      <scheme val="minor"/>
    </font>
    <font>
      <sz val="11"/>
      <color rgb="FF000000"/>
      <name val="Calibri"/>
      <family val="2"/>
      <scheme val="minor"/>
    </font>
    <font>
      <b/>
      <sz val="30"/>
      <color theme="0"/>
      <name val="Calibri"/>
      <family val="2"/>
      <scheme val="minor"/>
    </font>
    <font>
      <b/>
      <sz val="18"/>
      <color rgb="FF3464AB"/>
      <name val="Calibri"/>
      <family val="2"/>
      <scheme val="minor"/>
    </font>
    <font>
      <sz val="11"/>
      <color rgb="FF3464AB"/>
      <name val="Calibri"/>
      <family val="2"/>
      <scheme val="minor"/>
    </font>
    <font>
      <i/>
      <sz val="12"/>
      <color rgb="FFFF0000"/>
      <name val="Calibri"/>
      <family val="2"/>
      <scheme val="minor"/>
    </font>
    <font>
      <b/>
      <sz val="12"/>
      <color rgb="FF3464AB"/>
      <name val="Calibri"/>
      <family val="2"/>
      <scheme val="minor"/>
    </font>
    <font>
      <b/>
      <sz val="16"/>
      <color rgb="FF3464AB"/>
      <name val="Calibri"/>
      <family val="2"/>
      <scheme val="minor"/>
    </font>
    <font>
      <b/>
      <sz val="22"/>
      <color theme="4" tint="-0.249977111117893"/>
      <name val="Calibri"/>
      <family val="2"/>
      <scheme val="major"/>
    </font>
    <font>
      <sz val="14"/>
      <color theme="4" tint="-0.249977111117893"/>
      <name val="Calibri"/>
      <family val="2"/>
      <scheme val="minor"/>
    </font>
    <font>
      <b/>
      <sz val="12"/>
      <color theme="1"/>
      <name val="Calibri"/>
      <family val="2"/>
      <scheme val="minor"/>
    </font>
    <font>
      <sz val="10"/>
      <color theme="1"/>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rgb="FF3464AB"/>
        <bgColor rgb="FF4F81BD"/>
      </patternFill>
    </fill>
    <fill>
      <patternFill patternType="solid">
        <fgColor rgb="FF3464AB"/>
        <bgColor indexed="64"/>
      </patternFill>
    </fill>
    <fill>
      <patternFill patternType="solid">
        <fgColor rgb="FFE5EDF7"/>
        <bgColor indexed="64"/>
      </patternFill>
    </fill>
    <fill>
      <patternFill patternType="solid">
        <fgColor theme="4" tint="-0.249977111117893"/>
        <bgColor theme="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5" tint="0.79998168889431442"/>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8" tint="0.59996337778862885"/>
        <bgColor indexed="64"/>
      </patternFill>
    </fill>
    <fill>
      <patternFill patternType="solid">
        <fgColor theme="8" tint="0.79998168889431442"/>
        <bgColor indexed="64"/>
      </patternFill>
    </fill>
  </fills>
  <borders count="19">
    <border>
      <left/>
      <right/>
      <top/>
      <bottom/>
      <diagonal/>
    </border>
    <border>
      <left/>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0" tint="-0.34998626667073579"/>
      </top>
      <bottom style="thin">
        <color indexed="64"/>
      </bottom>
      <diagonal/>
    </border>
    <border>
      <left style="thin">
        <color theme="0" tint="-0.499984740745262"/>
      </left>
      <right style="thin">
        <color indexed="64"/>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24994659260841701"/>
      </top>
      <bottom style="thin">
        <color theme="0" tint="-0.24994659260841701"/>
      </bottom>
      <diagonal/>
    </border>
    <border>
      <left style="thin">
        <color theme="0" tint="-0.34998626667073579"/>
      </left>
      <right style="thin">
        <color theme="0" tint="-0.34998626667073579"/>
      </right>
      <top/>
      <bottom/>
      <diagonal/>
    </border>
    <border>
      <left style="thin">
        <color theme="0" tint="-0.14993743705557422"/>
      </left>
      <right style="thin">
        <color theme="0" tint="-0.14993743705557422"/>
      </right>
      <top style="thin">
        <color theme="0" tint="-0.24994659260841701"/>
      </top>
      <bottom style="thin">
        <color theme="0" tint="-0.24994659260841701"/>
      </bottom>
      <diagonal/>
    </border>
    <border>
      <left/>
      <right/>
      <top style="medium">
        <color theme="0" tint="-0.14996795556505021"/>
      </top>
      <bottom style="medium">
        <color theme="0" tint="-0.14996795556505021"/>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5" tint="0.59996337778862885"/>
      </top>
      <bottom style="thin">
        <color theme="5"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s>
  <cellStyleXfs count="12">
    <xf numFmtId="0" fontId="0" fillId="0" borderId="0"/>
    <xf numFmtId="0" fontId="2" fillId="0" borderId="0" applyNumberFormat="0" applyFill="0" applyBorder="0" applyAlignment="0" applyProtection="0">
      <alignment vertical="top"/>
      <protection locked="0"/>
    </xf>
    <xf numFmtId="9" fontId="9" fillId="0" borderId="0" applyFont="0" applyFill="0" applyBorder="0" applyAlignment="0" applyProtection="0"/>
    <xf numFmtId="0" fontId="9" fillId="0" borderId="0"/>
    <xf numFmtId="0" fontId="9" fillId="0" borderId="0"/>
    <xf numFmtId="0" fontId="28" fillId="0" borderId="0"/>
    <xf numFmtId="0" fontId="9" fillId="0" borderId="0"/>
    <xf numFmtId="0" fontId="9" fillId="0" borderId="0"/>
    <xf numFmtId="43" fontId="9" fillId="0" borderId="0" applyFont="0" applyFill="0" applyBorder="0" applyAlignment="0" applyProtection="0"/>
    <xf numFmtId="0" fontId="9" fillId="0" borderId="13" applyFill="0">
      <alignment horizontal="center" vertical="center"/>
    </xf>
    <xf numFmtId="0" fontId="9" fillId="0" borderId="13" applyFill="0">
      <alignment horizontal="left" vertical="center" indent="2"/>
    </xf>
    <xf numFmtId="164" fontId="9" fillId="0" borderId="13" applyFill="0">
      <alignment horizontal="center" vertical="center"/>
    </xf>
  </cellStyleXfs>
  <cellXfs count="13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8" fillId="0" borderId="0" xfId="0" applyFont="1" applyAlignment="1">
      <alignment vertical="center"/>
    </xf>
    <xf numFmtId="0" fontId="16" fillId="0" borderId="0" xfId="0" applyFont="1"/>
    <xf numFmtId="0" fontId="17" fillId="0" borderId="0" xfId="0" applyFont="1" applyAlignment="1">
      <alignment horizontal="right" vertical="center"/>
    </xf>
    <xf numFmtId="0" fontId="1" fillId="0" borderId="0" xfId="0" applyFont="1" applyAlignment="1">
      <alignment vertical="top"/>
    </xf>
    <xf numFmtId="0" fontId="18" fillId="0" borderId="0" xfId="0" applyFont="1" applyAlignment="1">
      <alignment horizontal="left" vertical="center"/>
    </xf>
    <xf numFmtId="0" fontId="19" fillId="0" borderId="0" xfId="0" applyFont="1" applyAlignment="1">
      <alignment horizontal="left" vertical="center"/>
    </xf>
    <xf numFmtId="0" fontId="20" fillId="0" borderId="0" xfId="0" applyFont="1" applyAlignment="1">
      <alignment vertical="center"/>
    </xf>
    <xf numFmtId="0" fontId="1" fillId="0" borderId="0" xfId="0" applyFont="1" applyAlignment="1">
      <alignment horizontal="left" vertical="center"/>
    </xf>
    <xf numFmtId="0" fontId="21" fillId="0" borderId="0" xfId="0" applyFont="1"/>
    <xf numFmtId="0" fontId="22" fillId="0" borderId="0" xfId="0" applyFont="1" applyAlignment="1">
      <alignment vertical="top" wrapText="1"/>
    </xf>
    <xf numFmtId="0" fontId="23" fillId="0" borderId="0" xfId="0" applyFont="1" applyAlignment="1">
      <alignment vertical="center"/>
    </xf>
    <xf numFmtId="0" fontId="22" fillId="0" borderId="0" xfId="0" applyFont="1" applyAlignment="1">
      <alignment horizontal="left" vertical="top" wrapText="1" indent="1"/>
    </xf>
    <xf numFmtId="0" fontId="2" fillId="0" borderId="0" xfId="1" applyAlignment="1" applyProtection="1">
      <alignment horizontal="left" indent="1"/>
    </xf>
    <xf numFmtId="14" fontId="24" fillId="0" borderId="0" xfId="0" applyNumberFormat="1" applyFont="1" applyAlignment="1">
      <alignment horizontal="center"/>
    </xf>
    <xf numFmtId="0" fontId="1" fillId="0" borderId="0" xfId="0" applyFont="1" applyAlignment="1">
      <alignment horizontal="right" vertical="center"/>
    </xf>
    <xf numFmtId="0" fontId="25" fillId="0" borderId="0" xfId="0" applyFont="1" applyAlignment="1">
      <alignment vertical="top"/>
    </xf>
    <xf numFmtId="0" fontId="26" fillId="0" borderId="0" xfId="0" applyFont="1"/>
    <xf numFmtId="0" fontId="26" fillId="0" borderId="0" xfId="1" applyFont="1" applyAlignment="1" applyProtection="1"/>
    <xf numFmtId="0" fontId="2" fillId="0" borderId="0" xfId="1" applyFill="1" applyAlignment="1" applyProtection="1">
      <alignment horizontal="left" indent="1"/>
    </xf>
    <xf numFmtId="0" fontId="0" fillId="0" borderId="7" xfId="0" applyBorder="1" applyAlignment="1">
      <alignment horizontal="center" vertical="center"/>
    </xf>
    <xf numFmtId="165" fontId="0" fillId="0" borderId="8" xfId="0" applyNumberFormat="1" applyBorder="1" applyAlignment="1">
      <alignment horizontal="centerContinuous" vertical="center"/>
    </xf>
    <xf numFmtId="165" fontId="0" fillId="0" borderId="9" xfId="0" applyNumberFormat="1" applyBorder="1" applyAlignment="1">
      <alignment horizontal="centerContinuous" vertical="center"/>
    </xf>
    <xf numFmtId="0" fontId="9" fillId="3" borderId="0" xfId="6" applyFill="1" applyAlignment="1">
      <alignment vertical="top"/>
    </xf>
    <xf numFmtId="0" fontId="9" fillId="3" borderId="0" xfId="6" applyFill="1" applyAlignment="1">
      <alignment wrapText="1"/>
    </xf>
    <xf numFmtId="0" fontId="9" fillId="0" borderId="0" xfId="6"/>
    <xf numFmtId="0" fontId="29" fillId="0" borderId="0" xfId="6" applyFont="1" applyAlignment="1">
      <alignment vertical="top"/>
    </xf>
    <xf numFmtId="0" fontId="30" fillId="0" borderId="0" xfId="6" applyFont="1" applyAlignment="1">
      <alignment vertical="top" wrapText="1"/>
    </xf>
    <xf numFmtId="0" fontId="31" fillId="0" borderId="0" xfId="6" applyFont="1"/>
    <xf numFmtId="0" fontId="31" fillId="0" borderId="0" xfId="7" applyFont="1" applyAlignment="1">
      <alignment vertical="top" wrapText="1"/>
    </xf>
    <xf numFmtId="0" fontId="31" fillId="0" borderId="0" xfId="6" applyFont="1" applyAlignment="1">
      <alignment vertical="center"/>
    </xf>
    <xf numFmtId="0" fontId="33" fillId="0" borderId="0" xfId="7" applyFont="1" applyAlignment="1">
      <alignment vertical="top" wrapText="1"/>
    </xf>
    <xf numFmtId="0" fontId="9" fillId="0" borderId="0" xfId="6" applyAlignment="1">
      <alignment vertical="top"/>
    </xf>
    <xf numFmtId="0" fontId="34" fillId="2" borderId="0" xfId="6" applyFont="1" applyFill="1" applyAlignment="1">
      <alignment vertical="top" wrapText="1"/>
    </xf>
    <xf numFmtId="0" fontId="5" fillId="0" borderId="0" xfId="6" applyFont="1" applyAlignment="1">
      <alignment vertical="top" wrapText="1"/>
    </xf>
    <xf numFmtId="0" fontId="35" fillId="0" borderId="0" xfId="6" applyFont="1" applyAlignment="1">
      <alignment vertical="top" wrapText="1"/>
    </xf>
    <xf numFmtId="0" fontId="9" fillId="2" borderId="0" xfId="6" applyFill="1" applyAlignment="1">
      <alignment vertical="top" wrapText="1"/>
    </xf>
    <xf numFmtId="0" fontId="9" fillId="0" borderId="0" xfId="6" applyAlignment="1">
      <alignment vertical="top" wrapText="1"/>
    </xf>
    <xf numFmtId="0" fontId="36" fillId="2" borderId="0" xfId="5" applyFont="1" applyFill="1" applyAlignment="1">
      <alignment wrapText="1"/>
    </xf>
    <xf numFmtId="0" fontId="9" fillId="2" borderId="0" xfId="6" applyFill="1" applyAlignment="1">
      <alignment wrapText="1"/>
    </xf>
    <xf numFmtId="0" fontId="9" fillId="0" borderId="0" xfId="6" applyAlignment="1">
      <alignment wrapText="1"/>
    </xf>
    <xf numFmtId="0" fontId="37" fillId="4" borderId="0" xfId="6" applyFont="1" applyFill="1" applyAlignment="1">
      <alignment horizontal="centerContinuous" vertical="center"/>
    </xf>
    <xf numFmtId="0" fontId="37" fillId="4" borderId="0" xfId="6" applyFont="1" applyFill="1" applyAlignment="1">
      <alignment horizontal="centerContinuous" wrapText="1"/>
    </xf>
    <xf numFmtId="0" fontId="38" fillId="0" borderId="0" xfId="6" applyFont="1" applyAlignment="1">
      <alignment vertical="top"/>
    </xf>
    <xf numFmtId="0" fontId="39" fillId="0" borderId="0" xfId="6" applyFont="1"/>
    <xf numFmtId="0" fontId="40" fillId="0" borderId="0" xfId="6" applyFont="1" applyAlignment="1">
      <alignment vertical="top" wrapText="1"/>
    </xf>
    <xf numFmtId="0" fontId="32" fillId="5" borderId="0" xfId="6" applyFont="1" applyFill="1" applyAlignment="1">
      <alignment vertical="center"/>
    </xf>
    <xf numFmtId="0" fontId="41" fillId="6" borderId="0" xfId="7" applyFont="1" applyFill="1" applyAlignment="1">
      <alignment horizontal="left" vertical="center" wrapText="1"/>
    </xf>
    <xf numFmtId="0" fontId="33" fillId="0" borderId="0" xfId="6" applyFont="1" applyAlignment="1">
      <alignment vertical="top"/>
    </xf>
    <xf numFmtId="0" fontId="30" fillId="0" borderId="0" xfId="7" applyFont="1" applyAlignment="1">
      <alignment vertical="top" wrapText="1"/>
    </xf>
    <xf numFmtId="0" fontId="9" fillId="6" borderId="6" xfId="7" applyFill="1" applyBorder="1" applyAlignment="1">
      <alignment vertical="top" wrapText="1"/>
    </xf>
    <xf numFmtId="0" fontId="9" fillId="6" borderId="6" xfId="6" applyFill="1" applyBorder="1" applyAlignment="1">
      <alignment vertical="top" wrapText="1"/>
    </xf>
    <xf numFmtId="0" fontId="33" fillId="0" borderId="0" xfId="6" applyFont="1"/>
    <xf numFmtId="0" fontId="39" fillId="0" borderId="0" xfId="6" applyFont="1" applyAlignment="1">
      <alignment horizontal="center" vertical="center" wrapText="1"/>
    </xf>
    <xf numFmtId="0" fontId="42" fillId="2" borderId="0" xfId="6" applyFont="1" applyFill="1" applyAlignment="1">
      <alignment vertical="top" wrapText="1"/>
    </xf>
    <xf numFmtId="0" fontId="9" fillId="2" borderId="0" xfId="3" applyFill="1" applyAlignment="1">
      <alignment vertical="top" wrapText="1"/>
    </xf>
    <xf numFmtId="0" fontId="9" fillId="2" borderId="0" xfId="3" applyFill="1" applyAlignment="1">
      <alignment wrapText="1"/>
    </xf>
    <xf numFmtId="0" fontId="6" fillId="7" borderId="1" xfId="0" applyFont="1" applyFill="1" applyBorder="1" applyAlignment="1">
      <alignment horizontal="left" vertical="center" indent="1"/>
    </xf>
    <xf numFmtId="0" fontId="6" fillId="7" borderId="1" xfId="0" applyFont="1" applyFill="1" applyBorder="1" applyAlignment="1">
      <alignment horizontal="center" vertical="center" wrapText="1"/>
    </xf>
    <xf numFmtId="167" fontId="11" fillId="9" borderId="4" xfId="0" applyNumberFormat="1" applyFont="1" applyFill="1" applyBorder="1" applyAlignment="1">
      <alignment horizontal="center" vertical="center"/>
    </xf>
    <xf numFmtId="167" fontId="11" fillId="9" borderId="0" xfId="0" applyNumberFormat="1" applyFont="1" applyFill="1" applyAlignment="1">
      <alignment horizontal="center" vertical="center"/>
    </xf>
    <xf numFmtId="167" fontId="11" fillId="9" borderId="5" xfId="0" applyNumberFormat="1" applyFont="1" applyFill="1" applyBorder="1" applyAlignment="1">
      <alignment horizontal="center" vertical="center"/>
    </xf>
    <xf numFmtId="0" fontId="43" fillId="0" borderId="0" xfId="0" applyFont="1" applyAlignment="1">
      <alignment horizontal="left"/>
    </xf>
    <xf numFmtId="0" fontId="44" fillId="0" borderId="0" xfId="0" applyFont="1"/>
    <xf numFmtId="0" fontId="5" fillId="0" borderId="0" xfId="0" applyFont="1" applyAlignment="1">
      <alignment horizontal="right" vertical="center"/>
    </xf>
    <xf numFmtId="0" fontId="14" fillId="8" borderId="11" xfId="0" applyFont="1" applyFill="1" applyBorder="1" applyAlignment="1">
      <alignment horizontal="center" vertical="center" shrinkToFit="1"/>
    </xf>
    <xf numFmtId="0" fontId="0" fillId="0" borderId="10" xfId="0" applyBorder="1" applyAlignment="1">
      <alignment horizontal="left" vertical="center" indent="1"/>
    </xf>
    <xf numFmtId="9" fontId="4" fillId="0" borderId="10" xfId="2" applyFont="1" applyFill="1" applyBorder="1" applyAlignment="1">
      <alignment horizontal="center" vertical="center"/>
    </xf>
    <xf numFmtId="164" fontId="0" fillId="0" borderId="10" xfId="0" applyNumberFormat="1" applyBorder="1" applyAlignment="1">
      <alignment horizontal="center" vertical="center"/>
    </xf>
    <xf numFmtId="164"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0" fillId="0" borderId="12" xfId="0" applyBorder="1" applyAlignment="1">
      <alignment vertical="center"/>
    </xf>
    <xf numFmtId="0" fontId="0" fillId="0" borderId="10" xfId="0" applyBorder="1" applyAlignment="1">
      <alignment vertical="center"/>
    </xf>
    <xf numFmtId="0" fontId="7" fillId="2" borderId="10" xfId="0" applyFont="1" applyFill="1" applyBorder="1" applyAlignment="1">
      <alignment horizontal="left" vertical="center" indent="1"/>
    </xf>
    <xf numFmtId="9" fontId="4" fillId="2" borderId="10" xfId="2" applyFont="1" applyFill="1" applyBorder="1" applyAlignment="1">
      <alignment horizontal="center" vertical="center"/>
    </xf>
    <xf numFmtId="164" fontId="3" fillId="2" borderId="10" xfId="0" applyNumberFormat="1" applyFont="1" applyFill="1" applyBorder="1" applyAlignment="1">
      <alignment horizontal="left" vertical="center"/>
    </xf>
    <xf numFmtId="164" fontId="4" fillId="2" borderId="10" xfId="0" applyNumberFormat="1" applyFont="1" applyFill="1" applyBorder="1" applyAlignment="1">
      <alignment horizontal="center" vertical="center"/>
    </xf>
    <xf numFmtId="0" fontId="4" fillId="2" borderId="10" xfId="0" applyFont="1" applyFill="1" applyBorder="1" applyAlignment="1">
      <alignment horizontal="center" vertical="center"/>
    </xf>
    <xf numFmtId="0" fontId="0" fillId="2" borderId="12" xfId="0" applyFill="1" applyBorder="1" applyAlignment="1">
      <alignment vertical="center"/>
    </xf>
    <xf numFmtId="0" fontId="45" fillId="10" borderId="0" xfId="0" applyFont="1" applyFill="1" applyAlignment="1">
      <alignment horizontal="left" vertical="center" indent="1"/>
    </xf>
    <xf numFmtId="9" fontId="1" fillId="10" borderId="0" xfId="2" applyFont="1" applyFill="1" applyBorder="1" applyAlignment="1">
      <alignment horizontal="center" vertical="center"/>
    </xf>
    <xf numFmtId="164" fontId="46" fillId="10" borderId="0" xfId="0" applyNumberFormat="1" applyFont="1" applyFill="1" applyAlignment="1">
      <alignment horizontal="center" vertical="center"/>
    </xf>
    <xf numFmtId="164" fontId="1" fillId="10" borderId="0" xfId="0" applyNumberFormat="1" applyFont="1" applyFill="1" applyAlignment="1">
      <alignment horizontal="center" vertical="center"/>
    </xf>
    <xf numFmtId="0" fontId="46" fillId="9" borderId="14" xfId="10" applyFont="1" applyFill="1" applyBorder="1">
      <alignment horizontal="left" vertical="center" indent="2"/>
    </xf>
    <xf numFmtId="9" fontId="1" fillId="9" borderId="14" xfId="2" applyFont="1" applyFill="1" applyBorder="1" applyAlignment="1">
      <alignment horizontal="center" vertical="center"/>
    </xf>
    <xf numFmtId="164" fontId="46" fillId="9" borderId="14" xfId="11" applyFont="1" applyFill="1" applyBorder="1">
      <alignment horizontal="center" vertical="center"/>
    </xf>
    <xf numFmtId="0" fontId="46" fillId="9" borderId="15" xfId="10" applyFont="1" applyFill="1" applyBorder="1">
      <alignment horizontal="left" vertical="center" indent="2"/>
    </xf>
    <xf numFmtId="9" fontId="1" fillId="9" borderId="15" xfId="2" applyFont="1" applyFill="1" applyBorder="1" applyAlignment="1">
      <alignment horizontal="center" vertical="center"/>
    </xf>
    <xf numFmtId="164" fontId="46" fillId="9" borderId="15" xfId="11" applyFont="1" applyFill="1" applyBorder="1">
      <alignment horizontal="center" vertical="center"/>
    </xf>
    <xf numFmtId="0" fontId="45" fillId="11" borderId="0" xfId="0" applyFont="1" applyFill="1" applyAlignment="1">
      <alignment horizontal="left" vertical="center" indent="1"/>
    </xf>
    <xf numFmtId="9" fontId="1" fillId="11" borderId="0" xfId="2" applyFont="1" applyFill="1" applyBorder="1" applyAlignment="1">
      <alignment horizontal="center" vertical="center"/>
    </xf>
    <xf numFmtId="164" fontId="46" fillId="11" borderId="0" xfId="0" applyNumberFormat="1" applyFont="1" applyFill="1" applyAlignment="1">
      <alignment horizontal="center" vertical="center"/>
    </xf>
    <xf numFmtId="164" fontId="1" fillId="11" borderId="0" xfId="0" applyNumberFormat="1" applyFont="1" applyFill="1" applyAlignment="1">
      <alignment horizontal="center" vertical="center"/>
    </xf>
    <xf numFmtId="0" fontId="46" fillId="12" borderId="16" xfId="10" applyFont="1" applyFill="1" applyBorder="1">
      <alignment horizontal="left" vertical="center" indent="2"/>
    </xf>
    <xf numFmtId="9" fontId="1" fillId="12" borderId="16" xfId="2" applyFont="1" applyFill="1" applyBorder="1" applyAlignment="1">
      <alignment horizontal="center" vertical="center"/>
    </xf>
    <xf numFmtId="164" fontId="46" fillId="12" borderId="16" xfId="11" applyFont="1" applyFill="1" applyBorder="1">
      <alignment horizontal="center" vertical="center"/>
    </xf>
    <xf numFmtId="0" fontId="46" fillId="12" borderId="16" xfId="10" applyFont="1" applyFill="1" applyBorder="1" applyAlignment="1">
      <alignment horizontal="left" vertical="center" wrapText="1" indent="2"/>
    </xf>
    <xf numFmtId="0" fontId="45" fillId="13" borderId="0" xfId="0" applyFont="1" applyFill="1" applyAlignment="1">
      <alignment horizontal="left" vertical="center" indent="1"/>
    </xf>
    <xf numFmtId="9" fontId="1" fillId="13" borderId="0" xfId="2" applyFont="1" applyFill="1" applyBorder="1" applyAlignment="1">
      <alignment horizontal="center" vertical="center"/>
    </xf>
    <xf numFmtId="164" fontId="46"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46" fillId="14" borderId="17" xfId="10" applyFont="1" applyFill="1" applyBorder="1">
      <alignment horizontal="left" vertical="center" indent="2"/>
    </xf>
    <xf numFmtId="9" fontId="1" fillId="14" borderId="17" xfId="2" applyFont="1" applyFill="1" applyBorder="1" applyAlignment="1">
      <alignment horizontal="center" vertical="center"/>
    </xf>
    <xf numFmtId="164" fontId="46" fillId="14" borderId="17" xfId="11" applyFont="1" applyFill="1" applyBorder="1">
      <alignment horizontal="center" vertical="center"/>
    </xf>
    <xf numFmtId="0" fontId="46" fillId="14" borderId="17" xfId="10" applyFont="1" applyFill="1" applyBorder="1" applyAlignment="1">
      <alignment horizontal="left" vertical="center" wrapText="1" indent="2"/>
    </xf>
    <xf numFmtId="0" fontId="45" fillId="15" borderId="0" xfId="0" applyFont="1" applyFill="1" applyAlignment="1">
      <alignment horizontal="left" vertical="center" indent="1"/>
    </xf>
    <xf numFmtId="9" fontId="1" fillId="15" borderId="0" xfId="2" applyFont="1" applyFill="1" applyBorder="1" applyAlignment="1">
      <alignment horizontal="center" vertical="center"/>
    </xf>
    <xf numFmtId="164" fontId="46" fillId="15" borderId="0" xfId="0" applyNumberFormat="1" applyFont="1" applyFill="1" applyAlignment="1">
      <alignment horizontal="center" vertical="center"/>
    </xf>
    <xf numFmtId="164" fontId="1" fillId="15" borderId="0" xfId="0" applyNumberFormat="1" applyFont="1" applyFill="1" applyAlignment="1">
      <alignment horizontal="center" vertical="center"/>
    </xf>
    <xf numFmtId="0" fontId="46" fillId="16" borderId="18" xfId="10" applyFont="1" applyFill="1" applyBorder="1">
      <alignment horizontal="left" vertical="center" indent="2"/>
    </xf>
    <xf numFmtId="9" fontId="1" fillId="16" borderId="18" xfId="2" applyFont="1" applyFill="1" applyBorder="1" applyAlignment="1">
      <alignment horizontal="center" vertical="center"/>
    </xf>
    <xf numFmtId="164" fontId="46" fillId="16" borderId="18" xfId="11" applyFont="1" applyFill="1" applyBorder="1">
      <alignment horizontal="center" vertical="center"/>
    </xf>
    <xf numFmtId="0" fontId="46" fillId="9" borderId="14" xfId="10" applyFont="1" applyFill="1" applyBorder="1" applyAlignment="1">
      <alignment horizontal="center" vertical="center"/>
    </xf>
    <xf numFmtId="0" fontId="15" fillId="0" borderId="0" xfId="0" applyFont="1" applyAlignment="1">
      <alignment horizontal="center" vertical="center"/>
    </xf>
    <xf numFmtId="0" fontId="10" fillId="0" borderId="0" xfId="0" applyFont="1" applyAlignment="1">
      <alignment horizontal="center" vertical="center"/>
    </xf>
    <xf numFmtId="39" fontId="5" fillId="0" borderId="0" xfId="0" applyNumberFormat="1" applyFont="1" applyAlignment="1">
      <alignment horizontal="center" vertical="center"/>
    </xf>
    <xf numFmtId="0" fontId="0" fillId="0" borderId="0" xfId="0" applyAlignment="1">
      <alignment horizontal="center" vertical="center"/>
    </xf>
    <xf numFmtId="0" fontId="46" fillId="10" borderId="0" xfId="9" applyFont="1" applyFill="1" applyBorder="1" applyAlignment="1">
      <alignment horizontal="center" vertical="center"/>
    </xf>
    <xf numFmtId="0" fontId="46" fillId="11" borderId="0" xfId="9" applyFont="1" applyFill="1" applyBorder="1" applyAlignment="1">
      <alignment horizontal="center" vertical="center"/>
    </xf>
    <xf numFmtId="0" fontId="46" fillId="12" borderId="16" xfId="9" applyFont="1" applyFill="1" applyBorder="1" applyAlignment="1">
      <alignment horizontal="center" vertical="center"/>
    </xf>
    <xf numFmtId="0" fontId="46" fillId="13" borderId="0" xfId="9" applyFont="1" applyFill="1" applyBorder="1" applyAlignment="1">
      <alignment horizontal="center" vertical="center"/>
    </xf>
    <xf numFmtId="0" fontId="46" fillId="14" borderId="17" xfId="9" applyFont="1" applyFill="1" applyBorder="1" applyAlignment="1">
      <alignment horizontal="center" vertical="center"/>
    </xf>
    <xf numFmtId="0" fontId="46" fillId="15" borderId="0" xfId="9" applyFont="1" applyFill="1" applyBorder="1" applyAlignment="1">
      <alignment horizontal="center" vertical="center"/>
    </xf>
    <xf numFmtId="0" fontId="46" fillId="16" borderId="18" xfId="9" applyFont="1" applyFill="1" applyBorder="1" applyAlignment="1">
      <alignment horizontal="center" vertical="center"/>
    </xf>
    <xf numFmtId="39" fontId="0" fillId="0" borderId="10" xfId="8" applyNumberFormat="1" applyFont="1" applyBorder="1" applyAlignment="1">
      <alignment horizontal="center" vertical="center"/>
    </xf>
    <xf numFmtId="39" fontId="7" fillId="2" borderId="10" xfId="8" applyNumberFormat="1" applyFont="1" applyFill="1" applyBorder="1" applyAlignment="1">
      <alignment horizontal="center" vertical="center"/>
    </xf>
    <xf numFmtId="0" fontId="16" fillId="0" borderId="0" xfId="0" applyFont="1" applyAlignment="1">
      <alignment horizontal="center" vertical="center"/>
    </xf>
    <xf numFmtId="0" fontId="26" fillId="0" borderId="0" xfId="1" applyFont="1" applyAlignment="1" applyProtection="1">
      <alignment horizontal="center" vertical="center"/>
    </xf>
    <xf numFmtId="0" fontId="26" fillId="0" borderId="0" xfId="0" applyFont="1" applyAlignment="1">
      <alignment horizontal="center" vertical="center"/>
    </xf>
    <xf numFmtId="0" fontId="27" fillId="0" borderId="0" xfId="1" applyFont="1" applyAlignment="1" applyProtection="1">
      <alignment horizontal="left" vertical="center"/>
    </xf>
    <xf numFmtId="166" fontId="0" fillId="9" borderId="2" xfId="0" applyNumberFormat="1" applyFill="1" applyBorder="1" applyAlignment="1">
      <alignment horizontal="left" vertical="center" wrapText="1" indent="1"/>
    </xf>
    <xf numFmtId="166" fontId="0" fillId="9" borderId="1" xfId="0" applyNumberFormat="1" applyFill="1" applyBorder="1" applyAlignment="1">
      <alignment horizontal="left" vertical="center" wrapText="1" indent="1"/>
    </xf>
    <xf numFmtId="166" fontId="0" fillId="9" borderId="3" xfId="0" applyNumberFormat="1" applyFill="1" applyBorder="1" applyAlignment="1">
      <alignment horizontal="left" vertical="center" wrapText="1" indent="1"/>
    </xf>
  </cellXfs>
  <cellStyles count="12">
    <cellStyle name="Comma" xfId="8" builtinId="3"/>
    <cellStyle name="Date" xfId="11" xr:uid="{32FA82A0-0475-4EF6-8711-402761BE0F42}"/>
    <cellStyle name="Hyperlink" xfId="1" builtinId="8" customBuiltin="1"/>
    <cellStyle name="Name" xfId="9" xr:uid="{D6B4D4C4-3390-4055-AF17-B2024221B21E}"/>
    <cellStyle name="Normal" xfId="0" builtinId="0"/>
    <cellStyle name="Normal 2" xfId="5" xr:uid="{F6137E9C-9D90-4907-87D2-F66E1236C2C7}"/>
    <cellStyle name="Normal 3 2" xfId="4" xr:uid="{468F9836-FCE4-46C8-AE46-CFD105BDDA17}"/>
    <cellStyle name="Normal 3 2 2" xfId="7" xr:uid="{5EBE4E74-803E-4F0E-8237-236DFD24A74A}"/>
    <cellStyle name="Normal 4" xfId="3" xr:uid="{0A5A6055-C10D-4DEA-8FED-A569442A9B09}"/>
    <cellStyle name="Normal 4 2" xfId="6" xr:uid="{8193CEAB-09E8-470F-82FE-732684E7C073}"/>
    <cellStyle name="Percent" xfId="2" builtinId="5"/>
    <cellStyle name="Task" xfId="10" xr:uid="{AC10068F-F43C-43F4-9F68-CA003609311F}"/>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AI_Theme">
      <a:dk1>
        <a:sysClr val="windowText" lastClr="000000"/>
      </a:dk1>
      <a:lt1>
        <a:sysClr val="window" lastClr="FFFFFF"/>
      </a:lt1>
      <a:dk2>
        <a:srgbClr val="3A5D9C"/>
      </a:dk2>
      <a:lt2>
        <a:srgbClr val="EEEEEE"/>
      </a:lt2>
      <a:accent1>
        <a:srgbClr val="7451B3"/>
      </a:accent1>
      <a:accent2>
        <a:srgbClr val="439957"/>
      </a:accent2>
      <a:accent3>
        <a:srgbClr val="CB4D5C"/>
      </a:accent3>
      <a:accent4>
        <a:srgbClr val="2B76BB"/>
      </a:accent4>
      <a:accent5>
        <a:srgbClr val="C7823D"/>
      </a:accent5>
      <a:accent6>
        <a:srgbClr val="328C88"/>
      </a:accent6>
      <a:hlink>
        <a:srgbClr val="4C92AE"/>
      </a:hlink>
      <a:folHlink>
        <a:srgbClr val="969696"/>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85"/>
  <sheetViews>
    <sheetView showGridLines="0" tabSelected="1" showRuler="0" zoomScaleNormal="100" zoomScalePageLayoutView="70" workbookViewId="0">
      <pane ySplit="6" topLeftCell="A15" activePane="bottomLeft" state="frozen"/>
      <selection pane="bottomLeft" activeCell="F21" sqref="F21"/>
    </sheetView>
  </sheetViews>
  <sheetFormatPr defaultColWidth="10.33203125" defaultRowHeight="14.4" x14ac:dyDescent="0.3"/>
  <cols>
    <col min="1" max="1" width="2.6640625" customWidth="1"/>
    <col min="2" max="2" width="49" customWidth="1"/>
    <col min="3" max="3" width="10.6640625" style="120" customWidth="1"/>
    <col min="4" max="4" width="9.5546875" customWidth="1"/>
    <col min="5" max="5" width="10.33203125" style="3" customWidth="1"/>
    <col min="6" max="6" width="10.33203125" customWidth="1"/>
    <col min="7" max="7" width="2.6640625" customWidth="1"/>
    <col min="8" max="8" width="6.109375" hidden="1" customWidth="1"/>
    <col min="9" max="64" width="2.5546875" customWidth="1"/>
    <col min="118" max="120" width="10.33203125" customWidth="1"/>
  </cols>
  <sheetData>
    <row r="1" spans="1:64" ht="28.8" x14ac:dyDescent="0.55000000000000004">
      <c r="A1" t="s">
        <v>25</v>
      </c>
      <c r="B1" s="66" t="s">
        <v>92</v>
      </c>
      <c r="C1" s="117"/>
      <c r="D1" s="1"/>
      <c r="E1" s="2"/>
      <c r="F1" s="19"/>
      <c r="H1" s="1"/>
      <c r="I1" s="5"/>
      <c r="J1" s="133"/>
      <c r="K1" s="133"/>
      <c r="L1" s="133"/>
      <c r="M1" s="133"/>
      <c r="N1" s="133"/>
      <c r="O1" s="133"/>
      <c r="P1" s="133"/>
      <c r="Q1" s="133"/>
      <c r="R1" s="133"/>
      <c r="S1" s="133"/>
      <c r="T1" s="133"/>
      <c r="U1" s="133"/>
      <c r="V1" s="133"/>
      <c r="W1" s="133"/>
      <c r="X1" s="133"/>
      <c r="Y1" s="133"/>
      <c r="Z1" s="133"/>
      <c r="AA1" s="133"/>
    </row>
    <row r="2" spans="1:64" ht="19.5" customHeight="1" x14ac:dyDescent="0.35">
      <c r="B2" s="67"/>
      <c r="C2" s="118"/>
      <c r="D2" s="4" t="s">
        <v>1</v>
      </c>
      <c r="E2" s="25">
        <v>45901</v>
      </c>
      <c r="F2" s="26"/>
    </row>
    <row r="3" spans="1:64" ht="19.5" customHeight="1" x14ac:dyDescent="0.35">
      <c r="B3" s="67" t="s">
        <v>93</v>
      </c>
      <c r="C3" s="118"/>
      <c r="D3" s="4" t="s">
        <v>20</v>
      </c>
      <c r="E3" s="25">
        <f ca="1">TODAY()</f>
        <v>45991</v>
      </c>
      <c r="F3" s="26"/>
    </row>
    <row r="4" spans="1:64" ht="19.5" customHeight="1" x14ac:dyDescent="0.3">
      <c r="B4" s="68"/>
      <c r="C4" s="119"/>
      <c r="D4" s="4" t="s">
        <v>7</v>
      </c>
      <c r="E4" s="24">
        <v>1</v>
      </c>
      <c r="I4" s="134">
        <f>I5</f>
        <v>45901</v>
      </c>
      <c r="J4" s="135"/>
      <c r="K4" s="135"/>
      <c r="L4" s="135"/>
      <c r="M4" s="135"/>
      <c r="N4" s="135"/>
      <c r="O4" s="136"/>
      <c r="P4" s="134">
        <f>P5</f>
        <v>45908</v>
      </c>
      <c r="Q4" s="135"/>
      <c r="R4" s="135"/>
      <c r="S4" s="135"/>
      <c r="T4" s="135"/>
      <c r="U4" s="135"/>
      <c r="V4" s="136"/>
      <c r="W4" s="134">
        <f>W5</f>
        <v>45915</v>
      </c>
      <c r="X4" s="135"/>
      <c r="Y4" s="135"/>
      <c r="Z4" s="135"/>
      <c r="AA4" s="135"/>
      <c r="AB4" s="135"/>
      <c r="AC4" s="136"/>
      <c r="AD4" s="134">
        <f>AD5</f>
        <v>45922</v>
      </c>
      <c r="AE4" s="135"/>
      <c r="AF4" s="135"/>
      <c r="AG4" s="135"/>
      <c r="AH4" s="135"/>
      <c r="AI4" s="135"/>
      <c r="AJ4" s="136"/>
      <c r="AK4" s="134">
        <f>AK5</f>
        <v>45929</v>
      </c>
      <c r="AL4" s="135"/>
      <c r="AM4" s="135"/>
      <c r="AN4" s="135"/>
      <c r="AO4" s="135"/>
      <c r="AP4" s="135"/>
      <c r="AQ4" s="136"/>
      <c r="AR4" s="134">
        <f>AR5</f>
        <v>45936</v>
      </c>
      <c r="AS4" s="135"/>
      <c r="AT4" s="135"/>
      <c r="AU4" s="135"/>
      <c r="AV4" s="135"/>
      <c r="AW4" s="135"/>
      <c r="AX4" s="136"/>
      <c r="AY4" s="134">
        <f>AY5</f>
        <v>45943</v>
      </c>
      <c r="AZ4" s="135"/>
      <c r="BA4" s="135"/>
      <c r="BB4" s="135"/>
      <c r="BC4" s="135"/>
      <c r="BD4" s="135"/>
      <c r="BE4" s="136"/>
      <c r="BF4" s="134">
        <f>BF5</f>
        <v>45950</v>
      </c>
      <c r="BG4" s="135"/>
      <c r="BH4" s="135"/>
      <c r="BI4" s="135"/>
      <c r="BJ4" s="135"/>
      <c r="BK4" s="135"/>
      <c r="BL4" s="136"/>
    </row>
    <row r="5" spans="1:64" x14ac:dyDescent="0.3">
      <c r="A5" s="4"/>
      <c r="G5" s="4"/>
      <c r="I5" s="63">
        <f>E2-WEEKDAY(E2,1)+2+7*(E4-1)</f>
        <v>45901</v>
      </c>
      <c r="J5" s="64">
        <f>I5+1</f>
        <v>45902</v>
      </c>
      <c r="K5" s="64">
        <f t="shared" ref="K5:AX5" si="0">J5+1</f>
        <v>45903</v>
      </c>
      <c r="L5" s="64">
        <f t="shared" si="0"/>
        <v>45904</v>
      </c>
      <c r="M5" s="64">
        <f t="shared" si="0"/>
        <v>45905</v>
      </c>
      <c r="N5" s="64">
        <f t="shared" si="0"/>
        <v>45906</v>
      </c>
      <c r="O5" s="65">
        <f t="shared" si="0"/>
        <v>45907</v>
      </c>
      <c r="P5" s="63">
        <f>O5+1</f>
        <v>45908</v>
      </c>
      <c r="Q5" s="64">
        <f>P5+1</f>
        <v>45909</v>
      </c>
      <c r="R5" s="64">
        <f t="shared" si="0"/>
        <v>45910</v>
      </c>
      <c r="S5" s="64">
        <f t="shared" si="0"/>
        <v>45911</v>
      </c>
      <c r="T5" s="64">
        <f t="shared" si="0"/>
        <v>45912</v>
      </c>
      <c r="U5" s="64">
        <f t="shared" si="0"/>
        <v>45913</v>
      </c>
      <c r="V5" s="65">
        <f t="shared" si="0"/>
        <v>45914</v>
      </c>
      <c r="W5" s="63">
        <f>V5+1</f>
        <v>45915</v>
      </c>
      <c r="X5" s="64">
        <f>W5+1</f>
        <v>45916</v>
      </c>
      <c r="Y5" s="64">
        <f t="shared" si="0"/>
        <v>45917</v>
      </c>
      <c r="Z5" s="64">
        <f t="shared" si="0"/>
        <v>45918</v>
      </c>
      <c r="AA5" s="64">
        <f t="shared" si="0"/>
        <v>45919</v>
      </c>
      <c r="AB5" s="64">
        <f t="shared" si="0"/>
        <v>45920</v>
      </c>
      <c r="AC5" s="65">
        <f t="shared" si="0"/>
        <v>45921</v>
      </c>
      <c r="AD5" s="63">
        <f>AC5+1</f>
        <v>45922</v>
      </c>
      <c r="AE5" s="64">
        <f>AD5+1</f>
        <v>45923</v>
      </c>
      <c r="AF5" s="64">
        <f t="shared" si="0"/>
        <v>45924</v>
      </c>
      <c r="AG5" s="64">
        <f t="shared" si="0"/>
        <v>45925</v>
      </c>
      <c r="AH5" s="64">
        <f t="shared" si="0"/>
        <v>45926</v>
      </c>
      <c r="AI5" s="64">
        <f t="shared" si="0"/>
        <v>45927</v>
      </c>
      <c r="AJ5" s="65">
        <f t="shared" si="0"/>
        <v>45928</v>
      </c>
      <c r="AK5" s="63">
        <f>AJ5+1</f>
        <v>45929</v>
      </c>
      <c r="AL5" s="64">
        <f>AK5+1</f>
        <v>45930</v>
      </c>
      <c r="AM5" s="64">
        <f t="shared" si="0"/>
        <v>45931</v>
      </c>
      <c r="AN5" s="64">
        <f t="shared" si="0"/>
        <v>45932</v>
      </c>
      <c r="AO5" s="64">
        <f t="shared" si="0"/>
        <v>45933</v>
      </c>
      <c r="AP5" s="64">
        <f t="shared" si="0"/>
        <v>45934</v>
      </c>
      <c r="AQ5" s="65">
        <f t="shared" si="0"/>
        <v>45935</v>
      </c>
      <c r="AR5" s="63">
        <f>AQ5+1</f>
        <v>45936</v>
      </c>
      <c r="AS5" s="64">
        <f>AR5+1</f>
        <v>45937</v>
      </c>
      <c r="AT5" s="64">
        <f t="shared" si="0"/>
        <v>45938</v>
      </c>
      <c r="AU5" s="64">
        <f t="shared" si="0"/>
        <v>45939</v>
      </c>
      <c r="AV5" s="64">
        <f t="shared" si="0"/>
        <v>45940</v>
      </c>
      <c r="AW5" s="64">
        <f t="shared" si="0"/>
        <v>45941</v>
      </c>
      <c r="AX5" s="65">
        <f t="shared" si="0"/>
        <v>45942</v>
      </c>
      <c r="AY5" s="63">
        <f>AX5+1</f>
        <v>45943</v>
      </c>
      <c r="AZ5" s="64">
        <f>AY5+1</f>
        <v>45944</v>
      </c>
      <c r="BA5" s="64">
        <f t="shared" ref="BA5:BE5" si="1">AZ5+1</f>
        <v>45945</v>
      </c>
      <c r="BB5" s="64">
        <f t="shared" si="1"/>
        <v>45946</v>
      </c>
      <c r="BC5" s="64">
        <f t="shared" si="1"/>
        <v>45947</v>
      </c>
      <c r="BD5" s="64">
        <f t="shared" si="1"/>
        <v>45948</v>
      </c>
      <c r="BE5" s="65">
        <f t="shared" si="1"/>
        <v>45949</v>
      </c>
      <c r="BF5" s="63">
        <f>BE5+1</f>
        <v>45950</v>
      </c>
      <c r="BG5" s="64">
        <f>BF5+1</f>
        <v>45951</v>
      </c>
      <c r="BH5" s="64">
        <f t="shared" ref="BH5:BL5" si="2">BG5+1</f>
        <v>45952</v>
      </c>
      <c r="BI5" s="64">
        <f t="shared" si="2"/>
        <v>45953</v>
      </c>
      <c r="BJ5" s="64">
        <f t="shared" si="2"/>
        <v>45954</v>
      </c>
      <c r="BK5" s="64">
        <f t="shared" si="2"/>
        <v>45955</v>
      </c>
      <c r="BL5" s="65">
        <f t="shared" si="2"/>
        <v>45956</v>
      </c>
    </row>
    <row r="6" spans="1:64" ht="29.25" customHeight="1" x14ac:dyDescent="0.3">
      <c r="A6" s="7"/>
      <c r="B6" s="61" t="s">
        <v>8</v>
      </c>
      <c r="C6" s="62" t="s">
        <v>94</v>
      </c>
      <c r="D6" s="62" t="s">
        <v>2</v>
      </c>
      <c r="E6" s="62" t="s">
        <v>4</v>
      </c>
      <c r="F6" s="62" t="s">
        <v>5</v>
      </c>
      <c r="G6" s="62"/>
      <c r="H6" s="62" t="s">
        <v>6</v>
      </c>
      <c r="I6" s="69" t="str">
        <f t="shared" ref="I6" si="3">LEFT(TEXT(I5,"ddd"),1)</f>
        <v>M</v>
      </c>
      <c r="J6" s="69" t="str">
        <f t="shared" ref="J6:AR6" si="4">LEFT(TEXT(J5,"ddd"),1)</f>
        <v>T</v>
      </c>
      <c r="K6" s="69" t="str">
        <f t="shared" si="4"/>
        <v>W</v>
      </c>
      <c r="L6" s="69" t="str">
        <f t="shared" si="4"/>
        <v>T</v>
      </c>
      <c r="M6" s="69" t="str">
        <f t="shared" si="4"/>
        <v>F</v>
      </c>
      <c r="N6" s="69" t="str">
        <f t="shared" si="4"/>
        <v>S</v>
      </c>
      <c r="O6" s="69" t="str">
        <f t="shared" si="4"/>
        <v>S</v>
      </c>
      <c r="P6" s="69" t="str">
        <f t="shared" si="4"/>
        <v>M</v>
      </c>
      <c r="Q6" s="69" t="str">
        <f t="shared" si="4"/>
        <v>T</v>
      </c>
      <c r="R6" s="69" t="str">
        <f t="shared" si="4"/>
        <v>W</v>
      </c>
      <c r="S6" s="69" t="str">
        <f t="shared" si="4"/>
        <v>T</v>
      </c>
      <c r="T6" s="69" t="str">
        <f t="shared" si="4"/>
        <v>F</v>
      </c>
      <c r="U6" s="69" t="str">
        <f t="shared" si="4"/>
        <v>S</v>
      </c>
      <c r="V6" s="69" t="str">
        <f t="shared" si="4"/>
        <v>S</v>
      </c>
      <c r="W6" s="69" t="str">
        <f t="shared" si="4"/>
        <v>M</v>
      </c>
      <c r="X6" s="69" t="str">
        <f t="shared" si="4"/>
        <v>T</v>
      </c>
      <c r="Y6" s="69" t="str">
        <f t="shared" si="4"/>
        <v>W</v>
      </c>
      <c r="Z6" s="69" t="str">
        <f t="shared" si="4"/>
        <v>T</v>
      </c>
      <c r="AA6" s="69" t="str">
        <f t="shared" si="4"/>
        <v>F</v>
      </c>
      <c r="AB6" s="69" t="str">
        <f t="shared" si="4"/>
        <v>S</v>
      </c>
      <c r="AC6" s="69" t="str">
        <f t="shared" si="4"/>
        <v>S</v>
      </c>
      <c r="AD6" s="69" t="str">
        <f t="shared" si="4"/>
        <v>M</v>
      </c>
      <c r="AE6" s="69" t="str">
        <f t="shared" si="4"/>
        <v>T</v>
      </c>
      <c r="AF6" s="69" t="str">
        <f t="shared" si="4"/>
        <v>W</v>
      </c>
      <c r="AG6" s="69" t="str">
        <f t="shared" si="4"/>
        <v>T</v>
      </c>
      <c r="AH6" s="69" t="str">
        <f t="shared" si="4"/>
        <v>F</v>
      </c>
      <c r="AI6" s="69" t="str">
        <f t="shared" si="4"/>
        <v>S</v>
      </c>
      <c r="AJ6" s="69" t="str">
        <f t="shared" si="4"/>
        <v>S</v>
      </c>
      <c r="AK6" s="69" t="str">
        <f t="shared" si="4"/>
        <v>M</v>
      </c>
      <c r="AL6" s="69" t="str">
        <f t="shared" si="4"/>
        <v>T</v>
      </c>
      <c r="AM6" s="69" t="str">
        <f t="shared" si="4"/>
        <v>W</v>
      </c>
      <c r="AN6" s="69" t="str">
        <f t="shared" si="4"/>
        <v>T</v>
      </c>
      <c r="AO6" s="69" t="str">
        <f t="shared" si="4"/>
        <v>F</v>
      </c>
      <c r="AP6" s="69" t="str">
        <f t="shared" si="4"/>
        <v>S</v>
      </c>
      <c r="AQ6" s="69" t="str">
        <f t="shared" si="4"/>
        <v>S</v>
      </c>
      <c r="AR6" s="69" t="str">
        <f t="shared" si="4"/>
        <v>M</v>
      </c>
      <c r="AS6" s="69" t="str">
        <f t="shared" ref="AS6:BK6" si="5">LEFT(TEXT(AS5,"ddd"),1)</f>
        <v>T</v>
      </c>
      <c r="AT6" s="69" t="str">
        <f t="shared" si="5"/>
        <v>W</v>
      </c>
      <c r="AU6" s="69" t="str">
        <f t="shared" si="5"/>
        <v>T</v>
      </c>
      <c r="AV6" s="69" t="str">
        <f t="shared" si="5"/>
        <v>F</v>
      </c>
      <c r="AW6" s="69" t="str">
        <f t="shared" si="5"/>
        <v>S</v>
      </c>
      <c r="AX6" s="69" t="str">
        <f t="shared" si="5"/>
        <v>S</v>
      </c>
      <c r="AY6" s="69" t="str">
        <f t="shared" si="5"/>
        <v>M</v>
      </c>
      <c r="AZ6" s="69" t="str">
        <f t="shared" si="5"/>
        <v>T</v>
      </c>
      <c r="BA6" s="69" t="str">
        <f t="shared" si="5"/>
        <v>W</v>
      </c>
      <c r="BB6" s="69" t="str">
        <f t="shared" si="5"/>
        <v>T</v>
      </c>
      <c r="BC6" s="69" t="str">
        <f t="shared" si="5"/>
        <v>F</v>
      </c>
      <c r="BD6" s="69" t="str">
        <f t="shared" si="5"/>
        <v>S</v>
      </c>
      <c r="BE6" s="69" t="str">
        <f t="shared" si="5"/>
        <v>S</v>
      </c>
      <c r="BF6" s="69" t="str">
        <f t="shared" si="5"/>
        <v>M</v>
      </c>
      <c r="BG6" s="69" t="str">
        <f t="shared" si="5"/>
        <v>T</v>
      </c>
      <c r="BH6" s="69" t="str">
        <f t="shared" si="5"/>
        <v>W</v>
      </c>
      <c r="BI6" s="69" t="str">
        <f t="shared" si="5"/>
        <v>T</v>
      </c>
      <c r="BJ6" s="69" t="str">
        <f t="shared" si="5"/>
        <v>F</v>
      </c>
      <c r="BK6" s="69" t="str">
        <f t="shared" si="5"/>
        <v>S</v>
      </c>
      <c r="BL6" s="69" t="str">
        <f>LEFT(TEXT(BL5,"ddd"),1)</f>
        <v>S</v>
      </c>
    </row>
    <row r="7" spans="1:64" s="76" customFormat="1" ht="21" x14ac:dyDescent="0.3">
      <c r="A7" s="7"/>
      <c r="B7" s="83" t="s">
        <v>66</v>
      </c>
      <c r="C7" s="121"/>
      <c r="D7" s="84"/>
      <c r="E7" s="85"/>
      <c r="F7" s="86"/>
      <c r="G7" s="74"/>
      <c r="H7" s="74" t="str">
        <f t="shared" ref="H7:H81" si="6">IF(OR(ISBLANK(task_start),ISBLANK(task_end)),"",task_end-task_start+1)</f>
        <v/>
      </c>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75"/>
      <c r="BB7" s="75"/>
      <c r="BC7" s="75"/>
      <c r="BD7" s="75"/>
      <c r="BE7" s="75"/>
      <c r="BF7" s="75"/>
      <c r="BG7" s="75"/>
      <c r="BH7" s="75"/>
      <c r="BI7" s="75"/>
      <c r="BJ7" s="75"/>
      <c r="BK7" s="75"/>
      <c r="BL7" s="75"/>
    </row>
    <row r="8" spans="1:64" s="76" customFormat="1" ht="21" x14ac:dyDescent="0.3">
      <c r="A8" s="7"/>
      <c r="B8" s="87" t="s">
        <v>67</v>
      </c>
      <c r="C8" s="116" t="s">
        <v>68</v>
      </c>
      <c r="D8" s="88">
        <v>0.5</v>
      </c>
      <c r="E8" s="89">
        <f>E2</f>
        <v>45901</v>
      </c>
      <c r="F8" s="89">
        <f>E8+4</f>
        <v>45905</v>
      </c>
      <c r="G8" s="74"/>
      <c r="H8" s="74">
        <f t="shared" si="6"/>
        <v>5</v>
      </c>
      <c r="I8" s="75"/>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75"/>
      <c r="BB8" s="75"/>
      <c r="BC8" s="75"/>
      <c r="BD8" s="75"/>
      <c r="BE8" s="75"/>
      <c r="BF8" s="75"/>
      <c r="BG8" s="75"/>
      <c r="BH8" s="75"/>
      <c r="BI8" s="75"/>
      <c r="BJ8" s="75"/>
      <c r="BK8" s="75"/>
      <c r="BL8" s="75"/>
    </row>
    <row r="9" spans="1:64" s="76" customFormat="1" ht="21" x14ac:dyDescent="0.3">
      <c r="A9" s="7"/>
      <c r="B9" s="90" t="s">
        <v>69</v>
      </c>
      <c r="C9" s="116" t="s">
        <v>68</v>
      </c>
      <c r="D9" s="91">
        <v>0.6</v>
      </c>
      <c r="E9" s="92">
        <f>F8+1</f>
        <v>45906</v>
      </c>
      <c r="F9" s="92">
        <f>E9+4</f>
        <v>45910</v>
      </c>
      <c r="G9" s="74"/>
      <c r="H9" s="74">
        <f t="shared" si="6"/>
        <v>5</v>
      </c>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row>
    <row r="10" spans="1:64" s="76" customFormat="1" ht="21" x14ac:dyDescent="0.3">
      <c r="A10" s="7"/>
      <c r="B10" s="90" t="s">
        <v>70</v>
      </c>
      <c r="C10" s="116" t="s">
        <v>68</v>
      </c>
      <c r="D10" s="91">
        <v>0.5</v>
      </c>
      <c r="E10" s="92">
        <f t="shared" ref="E10:E11" si="7">F9+1</f>
        <v>45911</v>
      </c>
      <c r="F10" s="92">
        <f>E10+2</f>
        <v>45913</v>
      </c>
      <c r="G10" s="74"/>
      <c r="H10" s="74">
        <f t="shared" si="6"/>
        <v>3</v>
      </c>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75"/>
      <c r="AY10" s="75"/>
      <c r="AZ10" s="75"/>
      <c r="BA10" s="75"/>
      <c r="BB10" s="75"/>
      <c r="BC10" s="75"/>
      <c r="BD10" s="75"/>
      <c r="BE10" s="75"/>
      <c r="BF10" s="75"/>
      <c r="BG10" s="75"/>
      <c r="BH10" s="75"/>
      <c r="BI10" s="75"/>
      <c r="BJ10" s="75"/>
      <c r="BK10" s="75"/>
      <c r="BL10" s="75"/>
    </row>
    <row r="11" spans="1:64" s="76" customFormat="1" ht="21" x14ac:dyDescent="0.3">
      <c r="A11" s="7"/>
      <c r="B11" s="90" t="s">
        <v>71</v>
      </c>
      <c r="C11" s="116" t="s">
        <v>68</v>
      </c>
      <c r="D11" s="91">
        <v>0.25</v>
      </c>
      <c r="E11" s="92">
        <f t="shared" si="7"/>
        <v>45914</v>
      </c>
      <c r="F11" s="92">
        <f>E11+1</f>
        <v>45915</v>
      </c>
      <c r="G11" s="74"/>
      <c r="H11" s="74">
        <f t="shared" si="6"/>
        <v>2</v>
      </c>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75"/>
      <c r="AY11" s="75"/>
      <c r="AZ11" s="75"/>
      <c r="BA11" s="75"/>
      <c r="BB11" s="75"/>
      <c r="BC11" s="75"/>
      <c r="BD11" s="75"/>
      <c r="BE11" s="75"/>
      <c r="BF11" s="75"/>
      <c r="BG11" s="75"/>
      <c r="BH11" s="75"/>
      <c r="BI11" s="75"/>
      <c r="BJ11" s="75"/>
      <c r="BK11" s="75"/>
      <c r="BL11" s="75"/>
    </row>
    <row r="12" spans="1:64" s="76" customFormat="1" ht="21" x14ac:dyDescent="0.3">
      <c r="A12" s="7"/>
      <c r="B12" s="93" t="s">
        <v>72</v>
      </c>
      <c r="C12" s="122"/>
      <c r="D12" s="94"/>
      <c r="E12" s="95"/>
      <c r="F12" s="96"/>
      <c r="G12" s="74"/>
      <c r="H12" s="74" t="str">
        <f t="shared" si="6"/>
        <v/>
      </c>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row>
    <row r="13" spans="1:64" s="76" customFormat="1" ht="21" x14ac:dyDescent="0.3">
      <c r="A13" s="7"/>
      <c r="B13" s="97" t="s">
        <v>73</v>
      </c>
      <c r="C13" s="123" t="s">
        <v>74</v>
      </c>
      <c r="D13" s="98">
        <v>0.5</v>
      </c>
      <c r="E13" s="99">
        <f>F11</f>
        <v>45915</v>
      </c>
      <c r="F13" s="99">
        <f>E13</f>
        <v>45915</v>
      </c>
      <c r="G13" s="74"/>
      <c r="H13" s="74">
        <f t="shared" si="6"/>
        <v>1</v>
      </c>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75"/>
      <c r="AV13" s="75"/>
      <c r="AW13" s="75"/>
      <c r="AX13" s="75"/>
      <c r="AY13" s="75"/>
      <c r="AZ13" s="75"/>
      <c r="BA13" s="75"/>
      <c r="BB13" s="75"/>
      <c r="BC13" s="75"/>
      <c r="BD13" s="75"/>
      <c r="BE13" s="75"/>
      <c r="BF13" s="75"/>
      <c r="BG13" s="75"/>
      <c r="BH13" s="75"/>
      <c r="BI13" s="75"/>
      <c r="BJ13" s="75"/>
      <c r="BK13" s="75"/>
      <c r="BL13" s="75"/>
    </row>
    <row r="14" spans="1:64" s="76" customFormat="1" ht="21" x14ac:dyDescent="0.3">
      <c r="A14" s="7"/>
      <c r="B14" s="97" t="s">
        <v>75</v>
      </c>
      <c r="C14" s="123" t="s">
        <v>74</v>
      </c>
      <c r="D14" s="98">
        <v>0.5</v>
      </c>
      <c r="E14" s="99">
        <f>F13+1</f>
        <v>45916</v>
      </c>
      <c r="F14" s="99">
        <f>E14+2</f>
        <v>45918</v>
      </c>
      <c r="G14" s="74"/>
      <c r="H14" s="74">
        <f t="shared" si="6"/>
        <v>3</v>
      </c>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5"/>
      <c r="BD14" s="75"/>
      <c r="BE14" s="75"/>
      <c r="BF14" s="75"/>
      <c r="BG14" s="75"/>
      <c r="BH14" s="75"/>
      <c r="BI14" s="75"/>
      <c r="BJ14" s="75"/>
      <c r="BK14" s="75"/>
      <c r="BL14" s="75"/>
    </row>
    <row r="15" spans="1:64" s="76" customFormat="1" ht="21" x14ac:dyDescent="0.3">
      <c r="A15" s="7"/>
      <c r="B15" s="97" t="s">
        <v>76</v>
      </c>
      <c r="C15" s="123" t="s">
        <v>74</v>
      </c>
      <c r="D15" s="98"/>
      <c r="E15" s="99">
        <f>F14+1</f>
        <v>45919</v>
      </c>
      <c r="F15" s="99">
        <f>E15+2</f>
        <v>45921</v>
      </c>
      <c r="G15" s="74"/>
      <c r="H15" s="74">
        <f t="shared" si="6"/>
        <v>3</v>
      </c>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row>
    <row r="16" spans="1:64" s="76" customFormat="1" ht="21" x14ac:dyDescent="0.3">
      <c r="A16" s="7"/>
      <c r="B16" s="97" t="s">
        <v>77</v>
      </c>
      <c r="C16" s="123" t="s">
        <v>74</v>
      </c>
      <c r="D16" s="98"/>
      <c r="E16" s="99">
        <f>F15+1</f>
        <v>45922</v>
      </c>
      <c r="F16" s="99">
        <f>E16+2</f>
        <v>45924</v>
      </c>
      <c r="G16" s="74"/>
      <c r="H16" s="74">
        <f t="shared" si="6"/>
        <v>3</v>
      </c>
      <c r="I16" s="75"/>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row>
    <row r="17" spans="1:64" s="76" customFormat="1" ht="27.6" x14ac:dyDescent="0.3">
      <c r="A17" s="7"/>
      <c r="B17" s="100" t="s">
        <v>78</v>
      </c>
      <c r="C17" s="123" t="s">
        <v>74</v>
      </c>
      <c r="D17" s="98"/>
      <c r="E17" s="99">
        <f>F16+1</f>
        <v>45925</v>
      </c>
      <c r="F17" s="99">
        <f>E17</f>
        <v>45925</v>
      </c>
      <c r="G17" s="74"/>
      <c r="H17" s="74">
        <f t="shared" si="6"/>
        <v>1</v>
      </c>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row>
    <row r="18" spans="1:64" s="76" customFormat="1" ht="21" x14ac:dyDescent="0.3">
      <c r="A18" s="7"/>
      <c r="B18" s="101" t="s">
        <v>96</v>
      </c>
      <c r="C18" s="124"/>
      <c r="D18" s="102"/>
      <c r="E18" s="103"/>
      <c r="F18" s="104"/>
      <c r="G18" s="74"/>
      <c r="H18" s="74" t="str">
        <f t="shared" si="6"/>
        <v/>
      </c>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row>
    <row r="19" spans="1:64" s="76" customFormat="1" ht="21" x14ac:dyDescent="0.3">
      <c r="A19" s="7"/>
      <c r="B19" s="105" t="s">
        <v>79</v>
      </c>
      <c r="C19" s="125" t="s">
        <v>80</v>
      </c>
      <c r="D19" s="106">
        <v>0.5</v>
      </c>
      <c r="E19" s="107">
        <f>F17+1</f>
        <v>45926</v>
      </c>
      <c r="F19" s="107">
        <f>E19+6</f>
        <v>45932</v>
      </c>
      <c r="G19" s="74"/>
      <c r="H19" s="74">
        <f t="shared" si="6"/>
        <v>7</v>
      </c>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row>
    <row r="20" spans="1:64" s="76" customFormat="1" ht="27.6" x14ac:dyDescent="0.3">
      <c r="A20" s="7"/>
      <c r="B20" s="108" t="s">
        <v>81</v>
      </c>
      <c r="C20" s="125" t="s">
        <v>80</v>
      </c>
      <c r="D20" s="106">
        <v>0.6</v>
      </c>
      <c r="E20" s="107">
        <f>F19+1</f>
        <v>45933</v>
      </c>
      <c r="F20" s="107">
        <f>E20+3</f>
        <v>45936</v>
      </c>
      <c r="G20" s="74"/>
      <c r="H20" s="74">
        <f t="shared" si="6"/>
        <v>4</v>
      </c>
      <c r="I20" s="75"/>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row>
    <row r="21" spans="1:64" s="76" customFormat="1" ht="21" x14ac:dyDescent="0.3">
      <c r="A21" s="7"/>
      <c r="B21" s="105" t="s">
        <v>82</v>
      </c>
      <c r="C21" s="125" t="s">
        <v>80</v>
      </c>
      <c r="D21" s="106">
        <v>0.5</v>
      </c>
      <c r="E21" s="107">
        <f>F20+1</f>
        <v>45937</v>
      </c>
      <c r="F21" s="107">
        <f>E21+2</f>
        <v>45939</v>
      </c>
      <c r="G21" s="74"/>
      <c r="H21" s="74">
        <f t="shared" si="6"/>
        <v>3</v>
      </c>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row>
    <row r="22" spans="1:64" s="76" customFormat="1" ht="21" x14ac:dyDescent="0.3">
      <c r="A22" s="7"/>
      <c r="B22" s="105" t="s">
        <v>83</v>
      </c>
      <c r="C22" s="125" t="s">
        <v>80</v>
      </c>
      <c r="D22" s="106">
        <v>0.25</v>
      </c>
      <c r="E22" s="107">
        <f>F21+1</f>
        <v>45940</v>
      </c>
      <c r="F22" s="107">
        <f>E22+3</f>
        <v>45943</v>
      </c>
      <c r="G22" s="74"/>
      <c r="H22" s="74">
        <f t="shared" si="6"/>
        <v>4</v>
      </c>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row>
    <row r="23" spans="1:64" s="76" customFormat="1" ht="21" x14ac:dyDescent="0.3">
      <c r="A23" s="7"/>
      <c r="B23" s="109" t="s">
        <v>95</v>
      </c>
      <c r="C23" s="126"/>
      <c r="D23" s="110"/>
      <c r="E23" s="111"/>
      <c r="F23" s="112"/>
      <c r="G23" s="74"/>
      <c r="H23" s="74" t="str">
        <f t="shared" si="6"/>
        <v/>
      </c>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5"/>
      <c r="BD23" s="75"/>
      <c r="BE23" s="75"/>
      <c r="BF23" s="75"/>
      <c r="BG23" s="75"/>
      <c r="BH23" s="75"/>
      <c r="BI23" s="75"/>
      <c r="BJ23" s="75"/>
      <c r="BK23" s="75"/>
      <c r="BL23" s="75"/>
    </row>
    <row r="24" spans="1:64" s="76" customFormat="1" ht="21" x14ac:dyDescent="0.3">
      <c r="A24" s="7"/>
      <c r="B24" s="113" t="s">
        <v>84</v>
      </c>
      <c r="C24" s="127" t="s">
        <v>85</v>
      </c>
      <c r="D24" s="114">
        <v>0.25</v>
      </c>
      <c r="E24" s="115">
        <f>F22+1</f>
        <v>45944</v>
      </c>
      <c r="F24" s="115">
        <f>E24+2</f>
        <v>45946</v>
      </c>
      <c r="G24" s="74"/>
      <c r="H24" s="74">
        <f t="shared" si="6"/>
        <v>3</v>
      </c>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row>
    <row r="25" spans="1:64" s="76" customFormat="1" ht="21" x14ac:dyDescent="0.3">
      <c r="A25" s="7"/>
      <c r="B25" s="113" t="s">
        <v>86</v>
      </c>
      <c r="C25" s="127" t="s">
        <v>85</v>
      </c>
      <c r="D25" s="114">
        <v>0.25</v>
      </c>
      <c r="E25" s="115">
        <f>F24+1</f>
        <v>45947</v>
      </c>
      <c r="F25" s="115">
        <f>E25+1</f>
        <v>45948</v>
      </c>
      <c r="G25" s="74"/>
      <c r="H25" s="74">
        <f t="shared" si="6"/>
        <v>2</v>
      </c>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5"/>
      <c r="BG25" s="75"/>
      <c r="BH25" s="75"/>
      <c r="BI25" s="75"/>
      <c r="BJ25" s="75"/>
      <c r="BK25" s="75"/>
      <c r="BL25" s="75"/>
    </row>
    <row r="26" spans="1:64" s="76" customFormat="1" ht="21" x14ac:dyDescent="0.3">
      <c r="A26" s="7"/>
      <c r="B26" s="113" t="s">
        <v>87</v>
      </c>
      <c r="C26" s="127" t="s">
        <v>85</v>
      </c>
      <c r="D26" s="114">
        <v>0.5</v>
      </c>
      <c r="E26" s="115">
        <f>F25+1</f>
        <v>45949</v>
      </c>
      <c r="F26" s="115">
        <f>E26+1</f>
        <v>45950</v>
      </c>
      <c r="G26" s="74"/>
      <c r="H26" s="74">
        <f t="shared" si="6"/>
        <v>2</v>
      </c>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row>
    <row r="27" spans="1:64" s="76" customFormat="1" ht="21" x14ac:dyDescent="0.3">
      <c r="A27" s="7"/>
      <c r="B27" s="109" t="s">
        <v>88</v>
      </c>
      <c r="C27" s="126"/>
      <c r="D27" s="110"/>
      <c r="E27" s="111"/>
      <c r="F27" s="112"/>
      <c r="G27" s="74"/>
      <c r="H27" s="74" t="str">
        <f t="shared" si="6"/>
        <v/>
      </c>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row>
    <row r="28" spans="1:64" s="76" customFormat="1" ht="21" x14ac:dyDescent="0.3">
      <c r="A28" s="7"/>
      <c r="B28" s="113" t="s">
        <v>89</v>
      </c>
      <c r="C28" s="127" t="s">
        <v>90</v>
      </c>
      <c r="D28" s="114">
        <v>0.67500000000000004</v>
      </c>
      <c r="E28" s="115">
        <f>F26+1</f>
        <v>45951</v>
      </c>
      <c r="F28" s="115">
        <f>E28+1</f>
        <v>45952</v>
      </c>
      <c r="G28" s="74"/>
      <c r="H28" s="74">
        <f t="shared" si="6"/>
        <v>2</v>
      </c>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5"/>
      <c r="BD28" s="75"/>
      <c r="BE28" s="75"/>
      <c r="BF28" s="75"/>
      <c r="BG28" s="75"/>
      <c r="BH28" s="75"/>
      <c r="BI28" s="75"/>
      <c r="BJ28" s="75"/>
      <c r="BK28" s="75"/>
      <c r="BL28" s="75"/>
    </row>
    <row r="29" spans="1:64" s="76" customFormat="1" ht="21" x14ac:dyDescent="0.3">
      <c r="A29" s="7"/>
      <c r="B29" s="113" t="s">
        <v>91</v>
      </c>
      <c r="C29" s="127" t="s">
        <v>90</v>
      </c>
      <c r="D29" s="114">
        <v>0.76</v>
      </c>
      <c r="E29" s="115">
        <f>F28+1</f>
        <v>45953</v>
      </c>
      <c r="F29" s="115">
        <f>E29+31</f>
        <v>45984</v>
      </c>
      <c r="G29" s="74"/>
      <c r="H29" s="74">
        <f t="shared" si="6"/>
        <v>32</v>
      </c>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5"/>
      <c r="BD29" s="75"/>
      <c r="BE29" s="75"/>
      <c r="BF29" s="75"/>
      <c r="BG29" s="75"/>
      <c r="BH29" s="75"/>
      <c r="BI29" s="75"/>
      <c r="BJ29" s="75"/>
      <c r="BK29" s="75"/>
      <c r="BL29" s="75"/>
    </row>
    <row r="30" spans="1:64" s="76" customFormat="1" ht="21" x14ac:dyDescent="0.3">
      <c r="A30" s="7"/>
      <c r="B30" s="70"/>
      <c r="C30" s="128"/>
      <c r="D30" s="71"/>
      <c r="E30" s="72"/>
      <c r="F30" s="73"/>
      <c r="G30" s="74"/>
      <c r="H30" s="74" t="str">
        <f t="shared" si="6"/>
        <v/>
      </c>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row>
    <row r="31" spans="1:64" s="76" customFormat="1" ht="21" x14ac:dyDescent="0.3">
      <c r="A31" s="7"/>
      <c r="B31" s="70"/>
      <c r="C31" s="128"/>
      <c r="D31" s="71"/>
      <c r="E31" s="72"/>
      <c r="F31" s="73"/>
      <c r="G31" s="74"/>
      <c r="H31" s="74" t="str">
        <f t="shared" si="6"/>
        <v/>
      </c>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5"/>
      <c r="BD31" s="75"/>
      <c r="BE31" s="75"/>
      <c r="BF31" s="75"/>
      <c r="BG31" s="75"/>
      <c r="BH31" s="75"/>
      <c r="BI31" s="75"/>
      <c r="BJ31" s="75"/>
      <c r="BK31" s="75"/>
      <c r="BL31" s="75"/>
    </row>
    <row r="32" spans="1:64" s="76" customFormat="1" ht="21" x14ac:dyDescent="0.3">
      <c r="A32" s="7"/>
      <c r="B32" s="70"/>
      <c r="C32" s="128"/>
      <c r="D32" s="71"/>
      <c r="E32" s="72"/>
      <c r="F32" s="73"/>
      <c r="G32" s="74"/>
      <c r="H32" s="74" t="str">
        <f t="shared" si="6"/>
        <v/>
      </c>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c r="AL32" s="75"/>
      <c r="AM32" s="75"/>
      <c r="AN32" s="75"/>
      <c r="AO32" s="75"/>
      <c r="AP32" s="75"/>
      <c r="AQ32" s="75"/>
      <c r="AR32" s="75"/>
      <c r="AS32" s="75"/>
      <c r="AT32" s="75"/>
      <c r="AU32" s="75"/>
      <c r="AV32" s="75"/>
      <c r="AW32" s="75"/>
      <c r="AX32" s="75"/>
      <c r="AY32" s="75"/>
      <c r="AZ32" s="75"/>
      <c r="BA32" s="75"/>
      <c r="BB32" s="75"/>
      <c r="BC32" s="75"/>
      <c r="BD32" s="75"/>
      <c r="BE32" s="75"/>
      <c r="BF32" s="75"/>
      <c r="BG32" s="75"/>
      <c r="BH32" s="75"/>
      <c r="BI32" s="75"/>
      <c r="BJ32" s="75"/>
      <c r="BK32" s="75"/>
      <c r="BL32" s="75"/>
    </row>
    <row r="33" spans="1:64" s="76" customFormat="1" ht="21" x14ac:dyDescent="0.3">
      <c r="A33" s="7"/>
      <c r="B33" s="70"/>
      <c r="C33" s="128"/>
      <c r="D33" s="71"/>
      <c r="E33" s="72"/>
      <c r="F33" s="73"/>
      <c r="G33" s="74"/>
      <c r="H33" s="74" t="str">
        <f t="shared" si="6"/>
        <v/>
      </c>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row>
    <row r="34" spans="1:64" s="76" customFormat="1" ht="21" x14ac:dyDescent="0.3">
      <c r="A34" s="7"/>
      <c r="B34" s="70"/>
      <c r="C34" s="128"/>
      <c r="D34" s="71"/>
      <c r="E34" s="72"/>
      <c r="F34" s="73"/>
      <c r="G34" s="74"/>
      <c r="H34" s="74" t="str">
        <f t="shared" si="6"/>
        <v/>
      </c>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5"/>
      <c r="AM34" s="75"/>
      <c r="AN34" s="75"/>
      <c r="AO34" s="75"/>
      <c r="AP34" s="75"/>
      <c r="AQ34" s="75"/>
      <c r="AR34" s="75"/>
      <c r="AS34" s="75"/>
      <c r="AT34" s="75"/>
      <c r="AU34" s="75"/>
      <c r="AV34" s="75"/>
      <c r="AW34" s="75"/>
      <c r="AX34" s="75"/>
      <c r="AY34" s="75"/>
      <c r="AZ34" s="75"/>
      <c r="BA34" s="75"/>
      <c r="BB34" s="75"/>
      <c r="BC34" s="75"/>
      <c r="BD34" s="75"/>
      <c r="BE34" s="75"/>
      <c r="BF34" s="75"/>
      <c r="BG34" s="75"/>
      <c r="BH34" s="75"/>
      <c r="BI34" s="75"/>
      <c r="BJ34" s="75"/>
      <c r="BK34" s="75"/>
      <c r="BL34" s="75"/>
    </row>
    <row r="35" spans="1:64" s="76" customFormat="1" ht="21" x14ac:dyDescent="0.3">
      <c r="A35" s="7"/>
      <c r="B35" s="70"/>
      <c r="C35" s="128"/>
      <c r="D35" s="71"/>
      <c r="E35" s="72"/>
      <c r="F35" s="73"/>
      <c r="G35" s="74"/>
      <c r="H35" s="74" t="str">
        <f t="shared" si="6"/>
        <v/>
      </c>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row>
    <row r="36" spans="1:64" s="76" customFormat="1" ht="21" x14ac:dyDescent="0.3">
      <c r="A36" s="7"/>
      <c r="B36" s="70"/>
      <c r="C36" s="128"/>
      <c r="D36" s="71"/>
      <c r="E36" s="72"/>
      <c r="F36" s="73"/>
      <c r="G36" s="74"/>
      <c r="H36" s="74" t="str">
        <f t="shared" si="6"/>
        <v/>
      </c>
      <c r="I36" s="75"/>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row>
    <row r="37" spans="1:64" s="76" customFormat="1" ht="21" x14ac:dyDescent="0.3">
      <c r="A37" s="7"/>
      <c r="B37" s="70"/>
      <c r="C37" s="128"/>
      <c r="D37" s="71"/>
      <c r="E37" s="72"/>
      <c r="F37" s="73"/>
      <c r="G37" s="74"/>
      <c r="H37" s="74" t="str">
        <f t="shared" si="6"/>
        <v/>
      </c>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row>
    <row r="38" spans="1:64" s="76" customFormat="1" ht="21" x14ac:dyDescent="0.3">
      <c r="A38" s="7"/>
      <c r="B38" s="70"/>
      <c r="C38" s="128"/>
      <c r="D38" s="71"/>
      <c r="E38" s="72"/>
      <c r="F38" s="73"/>
      <c r="G38" s="74"/>
      <c r="H38" s="74" t="str">
        <f t="shared" si="6"/>
        <v/>
      </c>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row>
    <row r="39" spans="1:64" s="76" customFormat="1" ht="21" x14ac:dyDescent="0.3">
      <c r="A39" s="7"/>
      <c r="B39" s="70"/>
      <c r="C39" s="128"/>
      <c r="D39" s="71"/>
      <c r="E39" s="72"/>
      <c r="F39" s="73"/>
      <c r="G39" s="74"/>
      <c r="H39" s="74" t="str">
        <f t="shared" si="6"/>
        <v/>
      </c>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row>
    <row r="40" spans="1:64" s="76" customFormat="1" ht="21" x14ac:dyDescent="0.3">
      <c r="A40" s="7"/>
      <c r="B40" s="70"/>
      <c r="C40" s="128"/>
      <c r="D40" s="71"/>
      <c r="E40" s="72"/>
      <c r="F40" s="73"/>
      <c r="G40" s="74"/>
      <c r="H40" s="74" t="str">
        <f t="shared" si="6"/>
        <v/>
      </c>
      <c r="I40" s="75"/>
      <c r="J40" s="75"/>
      <c r="K40" s="75"/>
      <c r="L40" s="75"/>
      <c r="M40" s="75"/>
      <c r="N40" s="75"/>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row>
    <row r="41" spans="1:64" s="76" customFormat="1" ht="21" x14ac:dyDescent="0.3">
      <c r="A41" s="7"/>
      <c r="B41" s="70"/>
      <c r="C41" s="128"/>
      <c r="D41" s="71"/>
      <c r="E41" s="72"/>
      <c r="F41" s="73"/>
      <c r="G41" s="74"/>
      <c r="H41" s="74" t="str">
        <f t="shared" si="6"/>
        <v/>
      </c>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c r="AP41" s="75"/>
      <c r="AQ41" s="75"/>
      <c r="AR41" s="75"/>
      <c r="AS41" s="75"/>
      <c r="AT41" s="75"/>
      <c r="AU41" s="75"/>
      <c r="AV41" s="75"/>
      <c r="AW41" s="75"/>
      <c r="AX41" s="75"/>
      <c r="AY41" s="75"/>
      <c r="AZ41" s="75"/>
      <c r="BA41" s="75"/>
      <c r="BB41" s="75"/>
      <c r="BC41" s="75"/>
      <c r="BD41" s="75"/>
      <c r="BE41" s="75"/>
      <c r="BF41" s="75"/>
      <c r="BG41" s="75"/>
      <c r="BH41" s="75"/>
      <c r="BI41" s="75"/>
      <c r="BJ41" s="75"/>
      <c r="BK41" s="75"/>
      <c r="BL41" s="75"/>
    </row>
    <row r="42" spans="1:64" s="76" customFormat="1" ht="21" x14ac:dyDescent="0.3">
      <c r="A42" s="7"/>
      <c r="B42" s="70"/>
      <c r="C42" s="128"/>
      <c r="D42" s="71"/>
      <c r="E42" s="72"/>
      <c r="F42" s="73"/>
      <c r="G42" s="74"/>
      <c r="H42" s="74" t="str">
        <f t="shared" si="6"/>
        <v/>
      </c>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row>
    <row r="43" spans="1:64" s="76" customFormat="1" ht="21" x14ac:dyDescent="0.3">
      <c r="A43" s="7"/>
      <c r="B43" s="70"/>
      <c r="C43" s="128"/>
      <c r="D43" s="71"/>
      <c r="E43" s="72"/>
      <c r="F43" s="73"/>
      <c r="G43" s="74"/>
      <c r="H43" s="74" t="str">
        <f t="shared" si="6"/>
        <v/>
      </c>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row>
    <row r="44" spans="1:64" s="76" customFormat="1" ht="21" x14ac:dyDescent="0.3">
      <c r="A44" s="7"/>
      <c r="B44" s="70"/>
      <c r="C44" s="128"/>
      <c r="D44" s="71"/>
      <c r="E44" s="72"/>
      <c r="F44" s="73"/>
      <c r="G44" s="74"/>
      <c r="H44" s="74" t="str">
        <f t="shared" si="6"/>
        <v/>
      </c>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c r="AI44" s="75"/>
      <c r="AJ44" s="75"/>
      <c r="AK44" s="75"/>
      <c r="AL44" s="75"/>
      <c r="AM44" s="75"/>
      <c r="AN44" s="75"/>
      <c r="AO44" s="75"/>
      <c r="AP44" s="75"/>
      <c r="AQ44" s="75"/>
      <c r="AR44" s="75"/>
      <c r="AS44" s="75"/>
      <c r="AT44" s="75"/>
      <c r="AU44" s="75"/>
      <c r="AV44" s="75"/>
      <c r="AW44" s="75"/>
      <c r="AX44" s="75"/>
      <c r="AY44" s="75"/>
      <c r="AZ44" s="75"/>
      <c r="BA44" s="75"/>
      <c r="BB44" s="75"/>
      <c r="BC44" s="75"/>
      <c r="BD44" s="75"/>
      <c r="BE44" s="75"/>
      <c r="BF44" s="75"/>
      <c r="BG44" s="75"/>
      <c r="BH44" s="75"/>
      <c r="BI44" s="75"/>
      <c r="BJ44" s="75"/>
      <c r="BK44" s="75"/>
      <c r="BL44" s="75"/>
    </row>
    <row r="45" spans="1:64" s="76" customFormat="1" ht="21" x14ac:dyDescent="0.3">
      <c r="A45" s="7"/>
      <c r="B45" s="70"/>
      <c r="C45" s="128"/>
      <c r="D45" s="71"/>
      <c r="E45" s="72"/>
      <c r="F45" s="73"/>
      <c r="G45" s="74"/>
      <c r="H45" s="74" t="str">
        <f t="shared" si="6"/>
        <v/>
      </c>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row>
    <row r="46" spans="1:64" s="76" customFormat="1" ht="21" x14ac:dyDescent="0.3">
      <c r="A46" s="7"/>
      <c r="B46" s="70"/>
      <c r="C46" s="128"/>
      <c r="D46" s="71"/>
      <c r="E46" s="72"/>
      <c r="F46" s="73"/>
      <c r="G46" s="74"/>
      <c r="H46" s="74" t="str">
        <f t="shared" si="6"/>
        <v/>
      </c>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c r="BA46" s="75"/>
      <c r="BB46" s="75"/>
      <c r="BC46" s="75"/>
      <c r="BD46" s="75"/>
      <c r="BE46" s="75"/>
      <c r="BF46" s="75"/>
      <c r="BG46" s="75"/>
      <c r="BH46" s="75"/>
      <c r="BI46" s="75"/>
      <c r="BJ46" s="75"/>
      <c r="BK46" s="75"/>
      <c r="BL46" s="75"/>
    </row>
    <row r="47" spans="1:64" s="76" customFormat="1" ht="21" x14ac:dyDescent="0.3">
      <c r="A47" s="7"/>
      <c r="B47" s="70"/>
      <c r="C47" s="128"/>
      <c r="D47" s="71"/>
      <c r="E47" s="72"/>
      <c r="F47" s="73"/>
      <c r="G47" s="74"/>
      <c r="H47" s="74" t="str">
        <f t="shared" si="6"/>
        <v/>
      </c>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5"/>
      <c r="AP47" s="75"/>
      <c r="AQ47" s="75"/>
      <c r="AR47" s="75"/>
      <c r="AS47" s="75"/>
      <c r="AT47" s="75"/>
      <c r="AU47" s="75"/>
      <c r="AV47" s="75"/>
      <c r="AW47" s="75"/>
      <c r="AX47" s="75"/>
      <c r="AY47" s="75"/>
      <c r="AZ47" s="75"/>
      <c r="BA47" s="75"/>
      <c r="BB47" s="75"/>
      <c r="BC47" s="75"/>
      <c r="BD47" s="75"/>
      <c r="BE47" s="75"/>
      <c r="BF47" s="75"/>
      <c r="BG47" s="75"/>
      <c r="BH47" s="75"/>
      <c r="BI47" s="75"/>
      <c r="BJ47" s="75"/>
      <c r="BK47" s="75"/>
      <c r="BL47" s="75"/>
    </row>
    <row r="48" spans="1:64" s="76" customFormat="1" ht="21" x14ac:dyDescent="0.3">
      <c r="A48" s="7"/>
      <c r="B48" s="70"/>
      <c r="C48" s="128"/>
      <c r="D48" s="71"/>
      <c r="E48" s="72"/>
      <c r="F48" s="73"/>
      <c r="G48" s="74"/>
      <c r="H48" s="74" t="str">
        <f t="shared" si="6"/>
        <v/>
      </c>
      <c r="I48" s="75"/>
      <c r="J48" s="75"/>
      <c r="K48" s="75"/>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row>
    <row r="49" spans="1:64" s="76" customFormat="1" ht="21" x14ac:dyDescent="0.3">
      <c r="A49" s="7"/>
      <c r="B49" s="70"/>
      <c r="C49" s="128"/>
      <c r="D49" s="71"/>
      <c r="E49" s="72"/>
      <c r="F49" s="73"/>
      <c r="G49" s="74"/>
      <c r="H49" s="74" t="str">
        <f t="shared" si="6"/>
        <v/>
      </c>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row>
    <row r="50" spans="1:64" s="76" customFormat="1" ht="21" x14ac:dyDescent="0.3">
      <c r="A50" s="7"/>
      <c r="B50" s="70"/>
      <c r="C50" s="128"/>
      <c r="D50" s="71"/>
      <c r="E50" s="72"/>
      <c r="F50" s="73"/>
      <c r="G50" s="74"/>
      <c r="H50" s="74"/>
      <c r="I50" s="75"/>
      <c r="J50" s="75"/>
      <c r="K50" s="75"/>
      <c r="L50" s="75"/>
      <c r="M50" s="75"/>
      <c r="N50" s="75"/>
      <c r="O50" s="75"/>
      <c r="P50" s="75"/>
      <c r="Q50" s="75"/>
      <c r="R50" s="75"/>
      <c r="S50" s="75"/>
      <c r="T50" s="75"/>
      <c r="U50" s="75"/>
      <c r="V50" s="75"/>
      <c r="W50" s="75"/>
      <c r="X50" s="75"/>
      <c r="Y50" s="75"/>
      <c r="Z50" s="75"/>
      <c r="AA50" s="75"/>
      <c r="AB50" s="75"/>
      <c r="AC50" s="75"/>
      <c r="AD50" s="75"/>
      <c r="AE50" s="75"/>
      <c r="AF50" s="75"/>
      <c r="AG50" s="75"/>
      <c r="AH50" s="75"/>
      <c r="AI50" s="75"/>
      <c r="AJ50" s="75"/>
      <c r="AK50" s="75"/>
      <c r="AL50" s="75"/>
      <c r="AM50" s="75"/>
      <c r="AN50" s="75"/>
      <c r="AO50" s="75"/>
      <c r="AP50" s="75"/>
      <c r="AQ50" s="75"/>
      <c r="AR50" s="75"/>
      <c r="AS50" s="75"/>
      <c r="AT50" s="75"/>
      <c r="AU50" s="75"/>
      <c r="AV50" s="75"/>
      <c r="AW50" s="75"/>
      <c r="AX50" s="75"/>
      <c r="AY50" s="75"/>
      <c r="AZ50" s="75"/>
      <c r="BA50" s="75"/>
      <c r="BB50" s="75"/>
      <c r="BC50" s="75"/>
      <c r="BD50" s="75"/>
      <c r="BE50" s="75"/>
      <c r="BF50" s="75"/>
      <c r="BG50" s="75"/>
      <c r="BH50" s="75"/>
      <c r="BI50" s="75"/>
      <c r="BJ50" s="75"/>
      <c r="BK50" s="75"/>
      <c r="BL50" s="75"/>
    </row>
    <row r="51" spans="1:64" s="76" customFormat="1" ht="21" x14ac:dyDescent="0.3">
      <c r="A51" s="7"/>
      <c r="B51" s="70"/>
      <c r="C51" s="128"/>
      <c r="D51" s="71"/>
      <c r="E51" s="72"/>
      <c r="F51" s="73"/>
      <c r="G51" s="74"/>
      <c r="H51" s="74"/>
      <c r="I51" s="75"/>
      <c r="J51" s="75"/>
      <c r="K51" s="75"/>
      <c r="L51" s="75"/>
      <c r="M51" s="75"/>
      <c r="N51" s="75"/>
      <c r="O51" s="75"/>
      <c r="P51" s="75"/>
      <c r="Q51" s="75"/>
      <c r="R51" s="75"/>
      <c r="S51" s="75"/>
      <c r="T51" s="75"/>
      <c r="U51" s="75"/>
      <c r="V51" s="75"/>
      <c r="W51" s="75"/>
      <c r="X51" s="75"/>
      <c r="Y51" s="75"/>
      <c r="Z51" s="75"/>
      <c r="AA51" s="75"/>
      <c r="AB51" s="75"/>
      <c r="AC51" s="75"/>
      <c r="AD51" s="75"/>
      <c r="AE51" s="75"/>
      <c r="AF51" s="75"/>
      <c r="AG51" s="75"/>
      <c r="AH51" s="75"/>
      <c r="AI51" s="75"/>
      <c r="AJ51" s="75"/>
      <c r="AK51" s="75"/>
      <c r="AL51" s="75"/>
      <c r="AM51" s="75"/>
      <c r="AN51" s="75"/>
      <c r="AO51" s="75"/>
      <c r="AP51" s="75"/>
      <c r="AQ51" s="75"/>
      <c r="AR51" s="75"/>
      <c r="AS51" s="75"/>
      <c r="AT51" s="75"/>
      <c r="AU51" s="75"/>
      <c r="AV51" s="75"/>
      <c r="AW51" s="75"/>
      <c r="AX51" s="75"/>
      <c r="AY51" s="75"/>
      <c r="AZ51" s="75"/>
      <c r="BA51" s="75"/>
      <c r="BB51" s="75"/>
      <c r="BC51" s="75"/>
      <c r="BD51" s="75"/>
      <c r="BE51" s="75"/>
      <c r="BF51" s="75"/>
      <c r="BG51" s="75"/>
      <c r="BH51" s="75"/>
      <c r="BI51" s="75"/>
      <c r="BJ51" s="75"/>
      <c r="BK51" s="75"/>
      <c r="BL51" s="75"/>
    </row>
    <row r="52" spans="1:64" s="76" customFormat="1" ht="21" x14ac:dyDescent="0.3">
      <c r="A52" s="7"/>
      <c r="B52" s="70"/>
      <c r="C52" s="128"/>
      <c r="D52" s="71"/>
      <c r="E52" s="72"/>
      <c r="F52" s="73"/>
      <c r="G52" s="74"/>
      <c r="H52" s="74"/>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75"/>
      <c r="BE52" s="75"/>
      <c r="BF52" s="75"/>
      <c r="BG52" s="75"/>
      <c r="BH52" s="75"/>
      <c r="BI52" s="75"/>
      <c r="BJ52" s="75"/>
      <c r="BK52" s="75"/>
      <c r="BL52" s="75"/>
    </row>
    <row r="53" spans="1:64" s="76" customFormat="1" ht="21" x14ac:dyDescent="0.3">
      <c r="A53" s="7"/>
      <c r="B53" s="70"/>
      <c r="C53" s="128"/>
      <c r="D53" s="71"/>
      <c r="E53" s="72"/>
      <c r="F53" s="73"/>
      <c r="G53" s="74"/>
      <c r="H53" s="74"/>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row>
    <row r="54" spans="1:64" s="76" customFormat="1" ht="21" x14ac:dyDescent="0.3">
      <c r="A54" s="7"/>
      <c r="B54" s="70"/>
      <c r="C54" s="128"/>
      <c r="D54" s="71"/>
      <c r="E54" s="72"/>
      <c r="F54" s="73"/>
      <c r="G54" s="74"/>
      <c r="H54" s="74"/>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row>
    <row r="55" spans="1:64" s="76" customFormat="1" ht="21" x14ac:dyDescent="0.3">
      <c r="A55" s="7"/>
      <c r="B55" s="70"/>
      <c r="C55" s="128"/>
      <c r="D55" s="71"/>
      <c r="E55" s="72"/>
      <c r="F55" s="73"/>
      <c r="G55" s="74"/>
      <c r="H55" s="74"/>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row>
    <row r="56" spans="1:64" s="76" customFormat="1" ht="21" x14ac:dyDescent="0.3">
      <c r="A56" s="7"/>
      <c r="B56" s="70"/>
      <c r="C56" s="128"/>
      <c r="D56" s="71"/>
      <c r="E56" s="72"/>
      <c r="F56" s="73"/>
      <c r="G56" s="74"/>
      <c r="H56" s="74"/>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row>
    <row r="57" spans="1:64" s="76" customFormat="1" ht="21" x14ac:dyDescent="0.3">
      <c r="A57" s="7"/>
      <c r="B57" s="70"/>
      <c r="C57" s="128"/>
      <c r="D57" s="71"/>
      <c r="E57" s="72"/>
      <c r="F57" s="73"/>
      <c r="G57" s="74"/>
      <c r="H57" s="74"/>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row>
    <row r="58" spans="1:64" s="76" customFormat="1" ht="21" x14ac:dyDescent="0.3">
      <c r="A58" s="7"/>
      <c r="B58" s="70"/>
      <c r="C58" s="128"/>
      <c r="D58" s="71"/>
      <c r="E58" s="72"/>
      <c r="F58" s="73"/>
      <c r="G58" s="74"/>
      <c r="H58" s="74"/>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row>
    <row r="59" spans="1:64" s="76" customFormat="1" ht="21" x14ac:dyDescent="0.3">
      <c r="A59" s="7"/>
      <c r="B59" s="70"/>
      <c r="C59" s="128"/>
      <c r="D59" s="71"/>
      <c r="E59" s="72"/>
      <c r="F59" s="73"/>
      <c r="G59" s="74"/>
      <c r="H59" s="74"/>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row>
    <row r="60" spans="1:64" s="76" customFormat="1" ht="21" x14ac:dyDescent="0.3">
      <c r="A60" s="7"/>
      <c r="B60" s="70"/>
      <c r="C60" s="128"/>
      <c r="D60" s="71"/>
      <c r="E60" s="72"/>
      <c r="F60" s="73"/>
      <c r="G60" s="74"/>
      <c r="H60" s="74"/>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row>
    <row r="61" spans="1:64" s="76" customFormat="1" ht="21" x14ac:dyDescent="0.3">
      <c r="A61" s="7"/>
      <c r="B61" s="70"/>
      <c r="C61" s="128"/>
      <c r="D61" s="71"/>
      <c r="E61" s="72"/>
      <c r="F61" s="73"/>
      <c r="G61" s="74"/>
      <c r="H61" s="74"/>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row>
    <row r="62" spans="1:64" s="76" customFormat="1" ht="21" x14ac:dyDescent="0.3">
      <c r="A62" s="7"/>
      <c r="B62" s="70"/>
      <c r="C62" s="128"/>
      <c r="D62" s="71"/>
      <c r="E62" s="72"/>
      <c r="F62" s="73"/>
      <c r="G62" s="74"/>
      <c r="H62" s="74"/>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row>
    <row r="63" spans="1:64" s="76" customFormat="1" ht="21" x14ac:dyDescent="0.3">
      <c r="A63" s="7"/>
      <c r="B63" s="70"/>
      <c r="C63" s="128"/>
      <c r="D63" s="71"/>
      <c r="E63" s="72"/>
      <c r="F63" s="73"/>
      <c r="G63" s="74"/>
      <c r="H63" s="74"/>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row>
    <row r="64" spans="1:64" s="76" customFormat="1" ht="21" x14ac:dyDescent="0.3">
      <c r="A64" s="7"/>
      <c r="B64" s="70"/>
      <c r="C64" s="128"/>
      <c r="D64" s="71"/>
      <c r="E64" s="72"/>
      <c r="F64" s="73"/>
      <c r="G64" s="74"/>
      <c r="H64" s="74"/>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row>
    <row r="65" spans="1:64" s="76" customFormat="1" ht="21" x14ac:dyDescent="0.3">
      <c r="A65" s="7"/>
      <c r="B65" s="70"/>
      <c r="C65" s="128"/>
      <c r="D65" s="71"/>
      <c r="E65" s="72"/>
      <c r="F65" s="73"/>
      <c r="G65" s="74"/>
      <c r="H65" s="74"/>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row>
    <row r="66" spans="1:64" s="76" customFormat="1" ht="21" x14ac:dyDescent="0.3">
      <c r="A66" s="7"/>
      <c r="B66" s="70"/>
      <c r="C66" s="128"/>
      <c r="D66" s="71"/>
      <c r="E66" s="72"/>
      <c r="F66" s="73"/>
      <c r="G66" s="74"/>
      <c r="H66" s="74"/>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row>
    <row r="67" spans="1:64" s="76" customFormat="1" ht="21" x14ac:dyDescent="0.3">
      <c r="A67" s="7"/>
      <c r="B67" s="70"/>
      <c r="C67" s="128"/>
      <c r="D67" s="71"/>
      <c r="E67" s="72"/>
      <c r="F67" s="73"/>
      <c r="G67" s="74"/>
      <c r="H67" s="74"/>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row>
    <row r="68" spans="1:64" s="76" customFormat="1" ht="21" x14ac:dyDescent="0.3">
      <c r="A68" s="7"/>
      <c r="B68" s="70"/>
      <c r="C68" s="128"/>
      <c r="D68" s="71"/>
      <c r="E68" s="72"/>
      <c r="F68" s="73"/>
      <c r="G68" s="74"/>
      <c r="H68" s="74"/>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row>
    <row r="69" spans="1:64" s="76" customFormat="1" ht="21" x14ac:dyDescent="0.3">
      <c r="A69" s="7"/>
      <c r="B69" s="70"/>
      <c r="C69" s="128"/>
      <c r="D69" s="71"/>
      <c r="E69" s="72"/>
      <c r="F69" s="73"/>
      <c r="G69" s="74"/>
      <c r="H69" s="74"/>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row>
    <row r="70" spans="1:64" s="76" customFormat="1" ht="21" x14ac:dyDescent="0.3">
      <c r="A70" s="7"/>
      <c r="B70" s="70"/>
      <c r="C70" s="128"/>
      <c r="D70" s="71"/>
      <c r="E70" s="72"/>
      <c r="F70" s="73"/>
      <c r="G70" s="74"/>
      <c r="H70" s="74"/>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row>
    <row r="71" spans="1:64" s="76" customFormat="1" ht="21" x14ac:dyDescent="0.3">
      <c r="A71" s="7"/>
      <c r="B71" s="70"/>
      <c r="C71" s="128"/>
      <c r="D71" s="71"/>
      <c r="E71" s="72"/>
      <c r="F71" s="73"/>
      <c r="G71" s="74"/>
      <c r="H71" s="74"/>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row>
    <row r="72" spans="1:64" s="76" customFormat="1" ht="21" x14ac:dyDescent="0.3">
      <c r="A72" s="7"/>
      <c r="B72" s="70"/>
      <c r="C72" s="128"/>
      <c r="D72" s="71"/>
      <c r="E72" s="72"/>
      <c r="F72" s="73"/>
      <c r="G72" s="74"/>
      <c r="H72" s="74"/>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row>
    <row r="73" spans="1:64" s="76" customFormat="1" ht="21" x14ac:dyDescent="0.3">
      <c r="A73" s="7"/>
      <c r="B73" s="70"/>
      <c r="C73" s="128"/>
      <c r="D73" s="71"/>
      <c r="E73" s="72"/>
      <c r="F73" s="73"/>
      <c r="G73" s="74"/>
      <c r="H73" s="74"/>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row>
    <row r="74" spans="1:64" s="76" customFormat="1" ht="21" x14ac:dyDescent="0.3">
      <c r="A74" s="7"/>
      <c r="B74" s="70"/>
      <c r="C74" s="128"/>
      <c r="D74" s="71"/>
      <c r="E74" s="72"/>
      <c r="F74" s="73"/>
      <c r="G74" s="74"/>
      <c r="H74" s="74"/>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row>
    <row r="75" spans="1:64" s="76" customFormat="1" ht="21" x14ac:dyDescent="0.3">
      <c r="A75" s="7"/>
      <c r="B75" s="70"/>
      <c r="C75" s="128"/>
      <c r="D75" s="71"/>
      <c r="E75" s="72"/>
      <c r="F75" s="73"/>
      <c r="G75" s="74"/>
      <c r="H75" s="74"/>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row>
    <row r="76" spans="1:64" s="76" customFormat="1" ht="21" x14ac:dyDescent="0.3">
      <c r="A76" s="7"/>
      <c r="B76" s="70"/>
      <c r="C76" s="128"/>
      <c r="D76" s="71"/>
      <c r="E76" s="72"/>
      <c r="F76" s="73"/>
      <c r="G76" s="74"/>
      <c r="H76" s="74"/>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row>
    <row r="77" spans="1:64" s="76" customFormat="1" ht="21" x14ac:dyDescent="0.3">
      <c r="A77" s="7"/>
      <c r="B77" s="70"/>
      <c r="C77" s="128"/>
      <c r="D77" s="71"/>
      <c r="E77" s="72"/>
      <c r="F77" s="73"/>
      <c r="G77" s="74"/>
      <c r="H77" s="74"/>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row>
    <row r="78" spans="1:64" s="76" customFormat="1" ht="21" x14ac:dyDescent="0.3">
      <c r="A78" s="7"/>
      <c r="B78" s="70"/>
      <c r="C78" s="128"/>
      <c r="D78" s="71"/>
      <c r="E78" s="72"/>
      <c r="F78" s="73"/>
      <c r="G78" s="74"/>
      <c r="H78" s="74" t="str">
        <f t="shared" si="6"/>
        <v/>
      </c>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row>
    <row r="79" spans="1:64" s="76" customFormat="1" ht="21" x14ac:dyDescent="0.3">
      <c r="A79" s="7"/>
      <c r="B79" s="70"/>
      <c r="C79" s="128"/>
      <c r="D79" s="71"/>
      <c r="E79" s="72"/>
      <c r="F79" s="73"/>
      <c r="G79" s="74"/>
      <c r="H79" s="74" t="str">
        <f t="shared" si="6"/>
        <v/>
      </c>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row>
    <row r="80" spans="1:64" s="76" customFormat="1" ht="21" x14ac:dyDescent="0.3">
      <c r="A80" s="7"/>
      <c r="B80" s="70"/>
      <c r="C80" s="128"/>
      <c r="D80" s="71"/>
      <c r="E80" s="72"/>
      <c r="F80" s="73"/>
      <c r="G80" s="74"/>
      <c r="H80" s="74" t="str">
        <f t="shared" si="6"/>
        <v/>
      </c>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row>
    <row r="81" spans="1:64" s="76" customFormat="1" ht="21" x14ac:dyDescent="0.3">
      <c r="A81" s="7"/>
      <c r="B81" s="77" t="s">
        <v>0</v>
      </c>
      <c r="C81" s="129"/>
      <c r="D81" s="78"/>
      <c r="E81" s="79"/>
      <c r="F81" s="80"/>
      <c r="G81" s="81"/>
      <c r="H81" s="81" t="str">
        <f t="shared" si="6"/>
        <v/>
      </c>
      <c r="I81" s="82"/>
      <c r="J81" s="82"/>
      <c r="K81" s="82"/>
      <c r="L81" s="82"/>
      <c r="M81" s="82"/>
      <c r="N81" s="82"/>
      <c r="O81" s="82"/>
      <c r="P81" s="82"/>
      <c r="Q81" s="82"/>
      <c r="R81" s="82"/>
      <c r="S81" s="82"/>
      <c r="T81" s="82"/>
      <c r="U81" s="82"/>
      <c r="V81" s="82"/>
      <c r="W81" s="82"/>
      <c r="X81" s="82"/>
      <c r="Y81" s="82"/>
      <c r="Z81" s="82"/>
      <c r="AA81" s="82"/>
      <c r="AB81" s="82"/>
      <c r="AC81" s="82"/>
      <c r="AD81" s="82"/>
      <c r="AE81" s="82"/>
      <c r="AF81" s="82"/>
      <c r="AG81" s="82"/>
      <c r="AH81" s="82"/>
      <c r="AI81" s="82"/>
      <c r="AJ81" s="82"/>
      <c r="AK81" s="82"/>
      <c r="AL81" s="82"/>
      <c r="AM81" s="82"/>
      <c r="AN81" s="82"/>
      <c r="AO81" s="82"/>
      <c r="AP81" s="82"/>
      <c r="AQ81" s="82"/>
      <c r="AR81" s="82"/>
      <c r="AS81" s="82"/>
      <c r="AT81" s="82"/>
      <c r="AU81" s="82"/>
      <c r="AV81" s="82"/>
      <c r="AW81" s="82"/>
      <c r="AX81" s="82"/>
      <c r="AY81" s="82"/>
      <c r="AZ81" s="82"/>
      <c r="BA81" s="82"/>
      <c r="BB81" s="82"/>
      <c r="BC81" s="82"/>
      <c r="BD81" s="82"/>
      <c r="BE81" s="82"/>
      <c r="BF81" s="82"/>
      <c r="BG81" s="82"/>
      <c r="BH81" s="82"/>
      <c r="BI81" s="82"/>
      <c r="BJ81" s="82"/>
      <c r="BK81" s="82"/>
      <c r="BL81" s="82"/>
    </row>
    <row r="82" spans="1:64" ht="21" x14ac:dyDescent="0.3">
      <c r="A82" s="7"/>
      <c r="G82" s="4"/>
    </row>
    <row r="83" spans="1:64" x14ac:dyDescent="0.3">
      <c r="B83" s="6" t="s">
        <v>11</v>
      </c>
      <c r="C83" s="130"/>
      <c r="F83" s="18">
        <v>43113</v>
      </c>
    </row>
    <row r="84" spans="1:64" x14ac:dyDescent="0.3">
      <c r="B84" s="22" t="s">
        <v>15</v>
      </c>
      <c r="C84" s="131"/>
    </row>
    <row r="85" spans="1:64" x14ac:dyDescent="0.3">
      <c r="B85" s="21" t="s">
        <v>53</v>
      </c>
      <c r="C85" s="132"/>
    </row>
  </sheetData>
  <mergeCells count="9">
    <mergeCell ref="J1:AA1"/>
    <mergeCell ref="AK4:AQ4"/>
    <mergeCell ref="AR4:AX4"/>
    <mergeCell ref="AY4:BE4"/>
    <mergeCell ref="BF4:BL4"/>
    <mergeCell ref="I4:O4"/>
    <mergeCell ref="P4:V4"/>
    <mergeCell ref="W4:AC4"/>
    <mergeCell ref="AD4:AJ4"/>
  </mergeCells>
  <conditionalFormatting sqref="D7:D29">
    <cfRule type="dataBar" priority="5">
      <dataBar>
        <cfvo type="num" val="0"/>
        <cfvo type="num" val="1"/>
        <color theme="0"/>
      </dataBar>
      <extLst>
        <ext xmlns:x14="http://schemas.microsoft.com/office/spreadsheetml/2009/9/main" uri="{B025F937-C7B1-47D3-B67F-A62EFF666E3E}">
          <x14:id>{644D4136-723E-46C4-91A4-FD672573591D}</x14:id>
        </ext>
      </extLst>
    </cfRule>
  </conditionalFormatting>
  <conditionalFormatting sqref="D30:D81">
    <cfRule type="dataBar" priority="2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81">
    <cfRule type="expression" dxfId="2" priority="38">
      <formula>AND(today&gt;=I$5,today&lt;I$5+1)</formula>
    </cfRule>
  </conditionalFormatting>
  <conditionalFormatting sqref="I7:BL81">
    <cfRule type="expression" dxfId="1" priority="36">
      <formula>AND(task_start&lt;=I$5,ROUNDDOWN((task_end-task_start+1)*task_progress,0)+task_start-1&gt;=I$5)</formula>
    </cfRule>
    <cfRule type="expression" dxfId="0" priority="37"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84" r:id="rId1" xr:uid="{00000000-0004-0000-0000-000000000000}"/>
    <hyperlink ref="B83"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644D4136-723E-46C4-91A4-FD672573591D}">
            <x14:dataBar minLength="0" maxLength="100" gradient="0">
              <x14:cfvo type="num">
                <xm:f>0</xm:f>
              </x14:cfvo>
              <x14:cfvo type="num">
                <xm:f>1</xm:f>
              </x14:cfvo>
              <x14:negativeFillColor rgb="FFFF0000"/>
              <x14:axisColor rgb="FF000000"/>
            </x14:dataBar>
          </x14:cfRule>
          <xm:sqref>D7:D29</xm:sqref>
        </x14:conditionalFormatting>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D30:D81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25711-9899-4D55-968B-AE33DB5B4D6E}">
  <dimension ref="A1:C48"/>
  <sheetViews>
    <sheetView showGridLines="0" topLeftCell="A2" zoomScaleNormal="100" workbookViewId="0">
      <selection activeCell="A2" sqref="A2"/>
    </sheetView>
  </sheetViews>
  <sheetFormatPr defaultColWidth="9.6640625" defaultRowHeight="14.4" x14ac:dyDescent="0.3"/>
  <cols>
    <col min="1" max="1" width="13.44140625" style="36" customWidth="1"/>
    <col min="2" max="2" width="104" style="44" customWidth="1"/>
    <col min="3" max="16384" width="9.6640625" style="29"/>
  </cols>
  <sheetData>
    <row r="1" spans="1:2" ht="28.8" hidden="1" x14ac:dyDescent="0.3">
      <c r="A1" s="27"/>
      <c r="B1" s="28" t="s">
        <v>21</v>
      </c>
    </row>
    <row r="2" spans="1:2" ht="38.4" x14ac:dyDescent="0.7">
      <c r="A2" s="45" t="s">
        <v>48</v>
      </c>
      <c r="B2" s="46"/>
    </row>
    <row r="3" spans="1:2" ht="23.4" x14ac:dyDescent="0.3">
      <c r="A3" s="47" t="s">
        <v>22</v>
      </c>
      <c r="B3" s="48"/>
    </row>
    <row r="4" spans="1:2" s="32" customFormat="1" ht="46.8" x14ac:dyDescent="0.4">
      <c r="A4" s="30"/>
      <c r="B4" s="31" t="s">
        <v>65</v>
      </c>
    </row>
    <row r="5" spans="1:2" s="32" customFormat="1" ht="19.8" x14ac:dyDescent="0.4">
      <c r="B5" s="33"/>
    </row>
    <row r="6" spans="1:2" s="32" customFormat="1" ht="19.8" x14ac:dyDescent="0.4">
      <c r="B6" s="49" t="s">
        <v>49</v>
      </c>
    </row>
    <row r="7" spans="1:2" s="32" customFormat="1" ht="19.8" x14ac:dyDescent="0.4">
      <c r="B7" s="33"/>
    </row>
    <row r="8" spans="1:2" s="34" customFormat="1" ht="27" customHeight="1" x14ac:dyDescent="0.3">
      <c r="A8" s="50" t="s">
        <v>23</v>
      </c>
      <c r="B8" s="51" t="s">
        <v>38</v>
      </c>
    </row>
    <row r="9" spans="1:2" s="32" customFormat="1" ht="19.8" x14ac:dyDescent="0.4">
      <c r="A9" s="52"/>
      <c r="B9" s="53" t="s">
        <v>39</v>
      </c>
    </row>
    <row r="10" spans="1:2" ht="15.6" x14ac:dyDescent="0.3">
      <c r="A10" s="52"/>
      <c r="B10" s="35" t="s">
        <v>26</v>
      </c>
    </row>
    <row r="11" spans="1:2" ht="30" customHeight="1" x14ac:dyDescent="0.3">
      <c r="A11" s="52"/>
      <c r="B11" s="54" t="s">
        <v>54</v>
      </c>
    </row>
    <row r="12" spans="1:2" ht="15.6" x14ac:dyDescent="0.3">
      <c r="A12" s="52"/>
      <c r="B12" s="35" t="s">
        <v>27</v>
      </c>
    </row>
    <row r="13" spans="1:2" ht="30" customHeight="1" x14ac:dyDescent="0.3">
      <c r="A13" s="52"/>
      <c r="B13" s="54" t="s">
        <v>55</v>
      </c>
    </row>
    <row r="14" spans="1:2" ht="15.6" x14ac:dyDescent="0.3">
      <c r="A14" s="52"/>
      <c r="B14" s="35" t="s">
        <v>28</v>
      </c>
    </row>
    <row r="15" spans="1:2" s="36" customFormat="1" ht="30" customHeight="1" x14ac:dyDescent="0.3">
      <c r="A15" s="52"/>
      <c r="B15" s="55" t="s">
        <v>51</v>
      </c>
    </row>
    <row r="16" spans="1:2" ht="15.6" x14ac:dyDescent="0.3">
      <c r="A16" s="52"/>
      <c r="B16" s="35" t="s">
        <v>29</v>
      </c>
    </row>
    <row r="17" spans="1:3" ht="30" customHeight="1" x14ac:dyDescent="0.3">
      <c r="A17" s="52"/>
      <c r="B17" s="54" t="s">
        <v>52</v>
      </c>
    </row>
    <row r="18" spans="1:3" ht="15.6" x14ac:dyDescent="0.3">
      <c r="A18" s="52"/>
      <c r="B18" s="35" t="s">
        <v>58</v>
      </c>
    </row>
    <row r="19" spans="1:3" ht="30" customHeight="1" x14ac:dyDescent="0.3">
      <c r="A19" s="52"/>
      <c r="B19" s="54" t="s">
        <v>63</v>
      </c>
    </row>
    <row r="20" spans="1:3" ht="15.6" x14ac:dyDescent="0.3">
      <c r="A20" s="52"/>
      <c r="B20" s="35" t="s">
        <v>30</v>
      </c>
    </row>
    <row r="21" spans="1:3" s="36" customFormat="1" ht="30" customHeight="1" x14ac:dyDescent="0.3">
      <c r="A21" s="52"/>
      <c r="B21" s="55"/>
    </row>
    <row r="22" spans="1:3" ht="15.6" x14ac:dyDescent="0.3">
      <c r="A22" s="52"/>
      <c r="B22" s="35" t="s">
        <v>31</v>
      </c>
    </row>
    <row r="23" spans="1:3" ht="30" customHeight="1" x14ac:dyDescent="0.3">
      <c r="A23" s="52"/>
      <c r="B23" s="54" t="s">
        <v>56</v>
      </c>
    </row>
    <row r="24" spans="1:3" ht="15.6" x14ac:dyDescent="0.3">
      <c r="A24" s="52"/>
      <c r="B24" s="35" t="s">
        <v>32</v>
      </c>
    </row>
    <row r="25" spans="1:3" s="36" customFormat="1" ht="30" customHeight="1" x14ac:dyDescent="0.3">
      <c r="A25" s="52"/>
      <c r="B25" s="55"/>
    </row>
    <row r="26" spans="1:3" ht="15.6" x14ac:dyDescent="0.3">
      <c r="A26" s="52"/>
      <c r="B26" s="35" t="s">
        <v>57</v>
      </c>
    </row>
    <row r="27" spans="1:3" s="36" customFormat="1" ht="30" customHeight="1" x14ac:dyDescent="0.3">
      <c r="A27" s="52"/>
      <c r="B27" s="55"/>
    </row>
    <row r="28" spans="1:3" s="32" customFormat="1" ht="19.8" x14ac:dyDescent="0.4">
      <c r="A28" s="56"/>
      <c r="B28" s="33"/>
    </row>
    <row r="29" spans="1:3" s="34" customFormat="1" ht="27" customHeight="1" x14ac:dyDescent="0.3">
      <c r="A29" s="50" t="s">
        <v>33</v>
      </c>
      <c r="B29" s="51" t="s">
        <v>34</v>
      </c>
    </row>
    <row r="30" spans="1:3" ht="152.4" customHeight="1" x14ac:dyDescent="0.3">
      <c r="A30" s="57" t="s">
        <v>35</v>
      </c>
      <c r="B30" s="37" t="str">
        <f>_xlfn.TEXTJOIN(CHAR(10),FALSE,$B$37,AI_Rules,"Here are a few questions the user may have answered to give you more information",$B$10:$B$27,$B$39,$B$40,$B$41)</f>
        <v xml:space="preserve">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Rules for Editing the XLSX File
Always use openpyxl when editing .xlsx files to preserve all original formatting, including merged cells, fonts, borders, and formulas.
The end result of this conversation should be you giving the user a .xlsx file.
Write all dates as real Excel date values (using Python datetime objects) and set only cell.number_format = 'yyyy-mm-dd' to apply the date format. Do not modify cell.style or other properties.
You must follow all of the steps carefully and in order.
Read and follow every word of every line.
Do not skim or summarize.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
Fill in the background of each row in a phase with a color specific to that phase, using light colors that will work well with the black text. Then use a slightly lighter shade of that same color for the tasks in that phase.
Now take that table and copy it into B7 of the ProjectSchedule worksheet within the file, but don't include the table header when you paste it in because I already have the table header in row 6. Edit B1 to be the project title and F2 to be the project start date, all in the ProjectSchedule worksheet. </v>
      </c>
      <c r="C30" s="38"/>
    </row>
    <row r="31" spans="1:3" s="32" customFormat="1" ht="19.8" x14ac:dyDescent="0.4">
      <c r="B31" s="33"/>
    </row>
    <row r="32" spans="1:3" s="34" customFormat="1" ht="54" customHeight="1" x14ac:dyDescent="0.3">
      <c r="A32" s="50" t="s">
        <v>36</v>
      </c>
      <c r="B32" s="51" t="s">
        <v>47</v>
      </c>
    </row>
    <row r="33" spans="1:2" ht="306" x14ac:dyDescent="0.3">
      <c r="A33" s="57" t="s">
        <v>35</v>
      </c>
      <c r="B33" s="37" t="str">
        <f>_xlfn.TEXTJOIN(CHAR(10),FALSE,$B$37,"Here are a few questions the user may have answered to give you more information",$B$10:$B$27,$B$39)</f>
        <v>Please make me a copyable table of a project schedule, rendered with markdown format so it can be directly copied into an Excel file. After the header, use only one delimiter row (|---|---|…|). In the first column are the Tasks. Here you will place the phase titles and subtasks. The second column is the Estimated Cost. Here you will use the given project location to assume the correct currency, but enter only numeric values without currency symbols. The third column is called Assigned To. Here, you will use the list of names based on role, or include the general role title such as Project Manager, Inspector, Electrician, etc. Leave the fourth column, Progress, blank. The 5th column is the Start Date of the task, and the 6th column is the End Date. Every row that includes a phase title should have all other cells in that row empty. Always write empty cells as |  | with two spaces. Based on the formatting described to you and the answers to the questions given, you will now generate the table. Come up with Phases, as many as needed, and subtasks for each phase. Tasks should be relevant and specific. Phase titles should be descriptive. Use general logic to assign team members, meaning generally only one task at a time per team member. Start and end dates should be realistic and based on educated guesses for how long that task should take. 
Here are a few questions the user may have answered to give you more information
Q: What is the name or title of your project?  
Home Remodel
Q: What are you trying to accomplish with this project?  
Finish my basement, adding a bathroom (already plumbed), family room, and 2 bedrooms.
Q: When would you like the project to begin?  
December 1st 2025
Q: When would you like the project to be completed by?  
July 1st 2026
Q: In which city, state, country will this project be completed?
Denver, CO, USA
Q: What are the main steps or key parts of this project that you already know about?  
Q: How detailed would you like your project schedule to be?  
Not super detailed, just the big steps. Something I can send to my contractor.
Q: Is there anything else I should know to help create your project schedule?  
Q: If applicable, provide a list of names and their roles for assigning tasks.
Do not wrap the table in backticks. Always write empty cells as |  | with two spaces.  Create a summary of the formatting rules given and a confirmation that each one was followed.</v>
      </c>
    </row>
    <row r="34" spans="1:2" ht="25.8" x14ac:dyDescent="0.3">
      <c r="B34" s="39"/>
    </row>
    <row r="35" spans="1:2" ht="23.4" x14ac:dyDescent="0.3">
      <c r="A35" s="47" t="s">
        <v>37</v>
      </c>
      <c r="B35" s="48"/>
    </row>
    <row r="36" spans="1:2" ht="21" x14ac:dyDescent="0.3">
      <c r="A36" s="40"/>
      <c r="B36" s="58" t="s">
        <v>24</v>
      </c>
    </row>
    <row r="37" spans="1:2" s="41" customFormat="1" ht="172.8" x14ac:dyDescent="0.3">
      <c r="A37" s="40"/>
      <c r="B37" s="59" t="s">
        <v>62</v>
      </c>
    </row>
    <row r="38" spans="1:2" ht="21" x14ac:dyDescent="0.3">
      <c r="A38" s="40"/>
      <c r="B38" s="58" t="s">
        <v>40</v>
      </c>
    </row>
    <row r="39" spans="1:2" ht="28.8" x14ac:dyDescent="0.3">
      <c r="A39" s="40"/>
      <c r="B39" s="42" t="s">
        <v>59</v>
      </c>
    </row>
    <row r="40" spans="1:2" s="41" customFormat="1" ht="28.8" x14ac:dyDescent="0.3">
      <c r="A40" s="40"/>
      <c r="B40" s="42" t="s">
        <v>61</v>
      </c>
    </row>
    <row r="41" spans="1:2" s="41" customFormat="1" ht="43.2" x14ac:dyDescent="0.3">
      <c r="A41" s="40"/>
      <c r="B41" s="60" t="s">
        <v>60</v>
      </c>
    </row>
    <row r="42" spans="1:2" ht="21" x14ac:dyDescent="0.3">
      <c r="A42" s="40"/>
      <c r="B42" s="58" t="s">
        <v>41</v>
      </c>
    </row>
    <row r="43" spans="1:2" ht="28.8" x14ac:dyDescent="0.3">
      <c r="A43" s="40"/>
      <c r="B43" s="40" t="s">
        <v>42</v>
      </c>
    </row>
    <row r="44" spans="1:2" x14ac:dyDescent="0.3">
      <c r="A44" s="40"/>
      <c r="B44" s="40" t="s">
        <v>43</v>
      </c>
    </row>
    <row r="45" spans="1:2" ht="28.8" x14ac:dyDescent="0.3">
      <c r="A45" s="40"/>
      <c r="B45" s="43" t="s">
        <v>50</v>
      </c>
    </row>
    <row r="46" spans="1:2" x14ac:dyDescent="0.3">
      <c r="A46" s="40"/>
      <c r="B46" s="43" t="s">
        <v>44</v>
      </c>
    </row>
    <row r="47" spans="1:2" x14ac:dyDescent="0.3">
      <c r="A47" s="40"/>
      <c r="B47" s="43" t="s">
        <v>45</v>
      </c>
    </row>
    <row r="48" spans="1:2" x14ac:dyDescent="0.3">
      <c r="A48" s="40"/>
      <c r="B48" s="43" t="s">
        <v>46</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1" customWidth="1"/>
    <col min="2" max="2" width="87.109375" style="8" customWidth="1"/>
    <col min="3" max="16384" width="9.109375" style="1"/>
  </cols>
  <sheetData>
    <row r="1" spans="2:3" ht="46.5" customHeight="1" x14ac:dyDescent="0.3"/>
    <row r="2" spans="2:3" s="10" customFormat="1" ht="15.6" x14ac:dyDescent="0.3">
      <c r="B2" s="9" t="s">
        <v>11</v>
      </c>
      <c r="C2" s="9"/>
    </row>
    <row r="3" spans="2:3" s="12" customFormat="1" ht="13.5" customHeight="1" x14ac:dyDescent="0.3">
      <c r="B3" s="11" t="s">
        <v>15</v>
      </c>
      <c r="C3" s="11"/>
    </row>
    <row r="4" spans="2:3" x14ac:dyDescent="0.3">
      <c r="B4" s="20" t="s">
        <v>53</v>
      </c>
    </row>
    <row r="6" spans="2:3" s="13" customFormat="1" ht="25.8" x14ac:dyDescent="0.5">
      <c r="B6" s="15" t="s">
        <v>10</v>
      </c>
    </row>
    <row r="7" spans="2:3" ht="57.6" x14ac:dyDescent="0.3">
      <c r="B7" s="16" t="s">
        <v>18</v>
      </c>
    </row>
    <row r="8" spans="2:3" ht="14.4" x14ac:dyDescent="0.3">
      <c r="B8" s="14"/>
    </row>
    <row r="9" spans="2:3" s="13" customFormat="1" ht="25.8" x14ac:dyDescent="0.5">
      <c r="B9" s="15" t="s">
        <v>12</v>
      </c>
    </row>
    <row r="10" spans="2:3" ht="57.6" x14ac:dyDescent="0.3">
      <c r="B10" s="16" t="s">
        <v>19</v>
      </c>
    </row>
    <row r="11" spans="2:3" ht="14.4" x14ac:dyDescent="0.3">
      <c r="B11" s="17" t="s">
        <v>17</v>
      </c>
    </row>
    <row r="12" spans="2:3" ht="14.4" x14ac:dyDescent="0.3">
      <c r="B12" s="14"/>
    </row>
    <row r="13" spans="2:3" ht="14.4" x14ac:dyDescent="0.3">
      <c r="B13" s="23" t="str">
        <f>HYPERLINK("https://vertex42.link/HowToMakeAGanttChart","► Watch How This Gantt Chart Was Created")</f>
        <v>► Watch How This Gantt Chart Was Created</v>
      </c>
    </row>
    <row r="14" spans="2:3" ht="14.4" x14ac:dyDescent="0.3">
      <c r="B14" s="14"/>
    </row>
    <row r="15" spans="2:3" s="13" customFormat="1" ht="25.8" x14ac:dyDescent="0.5">
      <c r="B15" s="15" t="s">
        <v>9</v>
      </c>
    </row>
    <row r="16" spans="2:3" ht="28.8" x14ac:dyDescent="0.3">
      <c r="B16" s="16" t="s">
        <v>16</v>
      </c>
    </row>
    <row r="17" spans="2:2" ht="14.4" x14ac:dyDescent="0.3">
      <c r="B17" s="17" t="s">
        <v>3</v>
      </c>
    </row>
    <row r="18" spans="2:2" ht="14.4" x14ac:dyDescent="0.3">
      <c r="B18" s="14"/>
    </row>
    <row r="19" spans="2:2" s="13" customFormat="1" ht="25.8" x14ac:dyDescent="0.5">
      <c r="B19" s="15" t="s">
        <v>13</v>
      </c>
    </row>
    <row r="20" spans="2:2" ht="57.6" x14ac:dyDescent="0.3">
      <c r="B20" s="16" t="s">
        <v>64</v>
      </c>
    </row>
    <row r="21" spans="2:2" ht="14.4" x14ac:dyDescent="0.3">
      <c r="B21" s="14"/>
    </row>
    <row r="22" spans="2:2" ht="72" x14ac:dyDescent="0.3">
      <c r="B22" s="16" t="s">
        <v>14</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ProjectSchedule</vt:lpstr>
      <vt:lpstr>AI</vt:lpstr>
      <vt:lpstr>About</vt:lpstr>
      <vt:lpstr>AI!AI_Rules</vt:lpstr>
      <vt:lpstr>ProjectSchedule!Print_Area</vt:lpstr>
      <vt:lpstr>ProjectSchedule!Print_Titles</vt:lpstr>
      <vt:lpstr>Project_Start</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 (AI Assisted)</dc:title>
  <dc:creator>Vertex42.com</dc:creator>
  <dc:description>© 2018-2025 Vertex42 LLC. All Rights Reserved.</dc:description>
  <cp:lastModifiedBy>الاء سعيد طه الشافعى</cp:lastModifiedBy>
  <cp:lastPrinted>2019-04-24T14:39:40Z</cp:lastPrinted>
  <dcterms:created xsi:type="dcterms:W3CDTF">2017-01-09T18:01:51Z</dcterms:created>
  <dcterms:modified xsi:type="dcterms:W3CDTF">2025-11-30T18:10:17Z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2019-2025 Vertex42 LLC</vt:lpwstr>
  </property>
  <property fmtid="{D5CDD505-2E9C-101B-9397-08002B2CF9AE}" pid="4" name="Version">
    <vt:lpwstr>1.0.0</vt:lpwstr>
  </property>
</Properties>
</file>